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295B8A72-B394-4052-A22C-D558DCC60FF6}" xr6:coauthVersionLast="47" xr6:coauthVersionMax="47" xr10:uidLastSave="{00000000-0000-0000-0000-000000000000}"/>
  <bookViews>
    <workbookView xWindow="-120" yWindow="-120" windowWidth="20730" windowHeight="11040" firstSheet="18" activeTab="20" xr2:uid="{00000000-000D-0000-FFFF-FFFF00000000}"/>
  </bookViews>
  <sheets>
    <sheet name="DataSekolah dan Kecamatan" sheetId="1" r:id="rId1"/>
    <sheet name="Data Fasilitas" sheetId="2" r:id="rId2"/>
    <sheet name="Data Infrastruktur Kondisi" sheetId="3" r:id="rId3"/>
    <sheet name="Data Rombel" sheetId="4" r:id="rId4"/>
    <sheet name="Integrasi Data" sheetId="5" r:id="rId5"/>
    <sheet name="Variabel" sheetId="6" r:id="rId6"/>
    <sheet name="Nilai Min-Max" sheetId="7" r:id="rId7"/>
    <sheet name="Nilai Normalisasi" sheetId="8" r:id="rId8"/>
    <sheet name="Tabel Centroid awal" sheetId="9" r:id="rId9"/>
    <sheet name="Jarak Iterasi 1" sheetId="10" r:id="rId10"/>
    <sheet name="Hasil Numerik" sheetId="11" r:id="rId11"/>
    <sheet name="Centroid Baru Iterasi 2" sheetId="12" r:id="rId12"/>
    <sheet name="Perhitungan Centroid Baru" sheetId="13" r:id="rId13"/>
    <sheet name="Jarak Iterasi 2" sheetId="14" r:id="rId14"/>
    <sheet name="Centroid Iterasi 2" sheetId="15" r:id="rId15"/>
    <sheet name="Jarak Iterasi 3" sheetId="16" r:id="rId16"/>
    <sheet name="Cek Rumus Centroid Iterasi 2" sheetId="17" r:id="rId17"/>
    <sheet name="Anggota Iterasi 2" sheetId="18" r:id="rId18"/>
    <sheet name="Centroid Iterasi 2 Exact" sheetId="19" r:id="rId19"/>
    <sheet name="Contoh Waled Iterasi 3" sheetId="20" r:id="rId20"/>
    <sheet name="Centroid Iterasi 2 Dipakai" sheetId="21" r:id="rId21"/>
    <sheet name="Centroid Iterasi 3" sheetId="22" r:id="rId22"/>
    <sheet name="Jarak Iterasi 4" sheetId="23" r:id="rId23"/>
    <sheet name="Perbandingan Iterasi 3-4" sheetId="24" r:id="rId24"/>
    <sheet name="Contoh Waled Iterasi 4" sheetId="25" r:id="rId25"/>
    <sheet name="Centroid Iterasi 4" sheetId="26" r:id="rId26"/>
    <sheet name="Kesimpulan K-Means" sheetId="27" r:id="rId2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5" i="26" l="1"/>
  <c r="C15" i="26"/>
  <c r="B15" i="26"/>
  <c r="D14" i="26"/>
  <c r="C14" i="26"/>
  <c r="B14" i="26"/>
  <c r="D13" i="26"/>
  <c r="C13" i="26"/>
  <c r="B13" i="26"/>
  <c r="D12" i="26"/>
  <c r="C12" i="26"/>
  <c r="B12" i="26"/>
  <c r="D11" i="26"/>
  <c r="C11" i="26"/>
  <c r="B11" i="26"/>
  <c r="D10" i="26"/>
  <c r="C10" i="26"/>
  <c r="B10" i="26"/>
  <c r="D9" i="26"/>
  <c r="C9" i="26"/>
  <c r="B9" i="26"/>
  <c r="D8" i="26"/>
  <c r="C8" i="26"/>
  <c r="B8" i="26"/>
  <c r="D7" i="26"/>
  <c r="C7" i="26"/>
  <c r="B7" i="26"/>
  <c r="D6" i="26"/>
  <c r="C6" i="26"/>
  <c r="B6" i="26"/>
  <c r="D5" i="26"/>
  <c r="C5" i="26"/>
  <c r="B5" i="26"/>
  <c r="B18" i="25"/>
  <c r="B17" i="25"/>
  <c r="B16" i="25"/>
  <c r="O44" i="23"/>
  <c r="N44" i="23"/>
  <c r="P44" i="23" s="1"/>
  <c r="M44" i="23"/>
  <c r="O43" i="23"/>
  <c r="N43" i="23"/>
  <c r="M43" i="23"/>
  <c r="O42" i="23"/>
  <c r="N42" i="23"/>
  <c r="P42" i="23" s="1"/>
  <c r="M42" i="23"/>
  <c r="O41" i="23"/>
  <c r="N41" i="23"/>
  <c r="M41" i="23"/>
  <c r="O40" i="23"/>
  <c r="N40" i="23"/>
  <c r="P40" i="23" s="1"/>
  <c r="M40" i="23"/>
  <c r="O39" i="23"/>
  <c r="N39" i="23"/>
  <c r="M39" i="23"/>
  <c r="O38" i="23"/>
  <c r="N38" i="23"/>
  <c r="P38" i="23" s="1"/>
  <c r="M38" i="23"/>
  <c r="O37" i="23"/>
  <c r="N37" i="23"/>
  <c r="M37" i="23"/>
  <c r="O36" i="23"/>
  <c r="N36" i="23"/>
  <c r="P36" i="23" s="1"/>
  <c r="M36" i="23"/>
  <c r="O35" i="23"/>
  <c r="N35" i="23"/>
  <c r="M35" i="23"/>
  <c r="O34" i="23"/>
  <c r="N34" i="23"/>
  <c r="P34" i="23" s="1"/>
  <c r="M34" i="23"/>
  <c r="O33" i="23"/>
  <c r="N33" i="23"/>
  <c r="M33" i="23"/>
  <c r="O32" i="23"/>
  <c r="N32" i="23"/>
  <c r="P32" i="23" s="1"/>
  <c r="M32" i="23"/>
  <c r="O31" i="23"/>
  <c r="N31" i="23"/>
  <c r="M31" i="23"/>
  <c r="O30" i="23"/>
  <c r="N30" i="23"/>
  <c r="P30" i="23" s="1"/>
  <c r="M30" i="23"/>
  <c r="O29" i="23"/>
  <c r="N29" i="23"/>
  <c r="M29" i="23"/>
  <c r="O28" i="23"/>
  <c r="N28" i="23"/>
  <c r="P28" i="23" s="1"/>
  <c r="M28" i="23"/>
  <c r="O27" i="23"/>
  <c r="N27" i="23"/>
  <c r="M27" i="23"/>
  <c r="O26" i="23"/>
  <c r="N26" i="23"/>
  <c r="P26" i="23" s="1"/>
  <c r="M26" i="23"/>
  <c r="O25" i="23"/>
  <c r="N25" i="23"/>
  <c r="M25" i="23"/>
  <c r="O24" i="23"/>
  <c r="N24" i="23"/>
  <c r="P24" i="23" s="1"/>
  <c r="M24" i="23"/>
  <c r="O23" i="23"/>
  <c r="N23" i="23"/>
  <c r="M23" i="23"/>
  <c r="O22" i="23"/>
  <c r="N22" i="23"/>
  <c r="P22" i="23" s="1"/>
  <c r="M22" i="23"/>
  <c r="O21" i="23"/>
  <c r="N21" i="23"/>
  <c r="M21" i="23"/>
  <c r="O20" i="23"/>
  <c r="N20" i="23"/>
  <c r="P20" i="23" s="1"/>
  <c r="M20" i="23"/>
  <c r="O19" i="23"/>
  <c r="N19" i="23"/>
  <c r="M19" i="23"/>
  <c r="O18" i="23"/>
  <c r="N18" i="23"/>
  <c r="P18" i="23" s="1"/>
  <c r="M18" i="23"/>
  <c r="O17" i="23"/>
  <c r="N17" i="23"/>
  <c r="M17" i="23"/>
  <c r="O16" i="23"/>
  <c r="N16" i="23"/>
  <c r="P16" i="23" s="1"/>
  <c r="M16" i="23"/>
  <c r="O15" i="23"/>
  <c r="N15" i="23"/>
  <c r="M15" i="23"/>
  <c r="O14" i="23"/>
  <c r="N14" i="23"/>
  <c r="P14" i="23" s="1"/>
  <c r="M14" i="23"/>
  <c r="O13" i="23"/>
  <c r="N13" i="23"/>
  <c r="M13" i="23"/>
  <c r="O12" i="23"/>
  <c r="N12" i="23"/>
  <c r="P12" i="23" s="1"/>
  <c r="M12" i="23"/>
  <c r="O11" i="23"/>
  <c r="N11" i="23"/>
  <c r="M11" i="23"/>
  <c r="O10" i="23"/>
  <c r="N10" i="23"/>
  <c r="P10" i="23" s="1"/>
  <c r="M10" i="23"/>
  <c r="O9" i="23"/>
  <c r="N9" i="23"/>
  <c r="M9" i="23"/>
  <c r="O8" i="23"/>
  <c r="N8" i="23"/>
  <c r="P8" i="23" s="1"/>
  <c r="M8" i="23"/>
  <c r="O7" i="23"/>
  <c r="N7" i="23"/>
  <c r="M7" i="23"/>
  <c r="O6" i="23"/>
  <c r="N6" i="23"/>
  <c r="P6" i="23" s="1"/>
  <c r="M6" i="23"/>
  <c r="O5" i="23"/>
  <c r="N5" i="23"/>
  <c r="M5" i="23"/>
  <c r="B18" i="20"/>
  <c r="B17" i="20"/>
  <c r="B19" i="20" s="1"/>
  <c r="B16" i="20"/>
  <c r="D14" i="17"/>
  <c r="C14" i="17"/>
  <c r="B14" i="17"/>
  <c r="D13" i="17"/>
  <c r="C13" i="17"/>
  <c r="B13" i="17"/>
  <c r="D12" i="17"/>
  <c r="C12" i="17"/>
  <c r="B12" i="17"/>
  <c r="D11" i="17"/>
  <c r="C11" i="17"/>
  <c r="B11" i="17"/>
  <c r="D10" i="17"/>
  <c r="C10" i="17"/>
  <c r="B10" i="17"/>
  <c r="D9" i="17"/>
  <c r="C9" i="17"/>
  <c r="B9" i="17"/>
  <c r="D8" i="17"/>
  <c r="C8" i="17"/>
  <c r="B8" i="17"/>
  <c r="D7" i="17"/>
  <c r="C7" i="17"/>
  <c r="B7" i="17"/>
  <c r="D6" i="17"/>
  <c r="C6" i="17"/>
  <c r="B6" i="17"/>
  <c r="D5" i="17"/>
  <c r="C5" i="17"/>
  <c r="B5" i="17"/>
  <c r="D4" i="17"/>
  <c r="C4" i="17"/>
  <c r="B4" i="17"/>
  <c r="O44" i="16"/>
  <c r="N44" i="16"/>
  <c r="M44" i="16"/>
  <c r="O43" i="16"/>
  <c r="N43" i="16"/>
  <c r="M43" i="16"/>
  <c r="P43" i="16" s="1"/>
  <c r="O42" i="16"/>
  <c r="N42" i="16"/>
  <c r="M42" i="16"/>
  <c r="O41" i="16"/>
  <c r="N41" i="16"/>
  <c r="M41" i="16"/>
  <c r="P41" i="16" s="1"/>
  <c r="O40" i="16"/>
  <c r="N40" i="16"/>
  <c r="M40" i="16"/>
  <c r="O39" i="16"/>
  <c r="N39" i="16"/>
  <c r="M39" i="16"/>
  <c r="P39" i="16" s="1"/>
  <c r="O38" i="16"/>
  <c r="N38" i="16"/>
  <c r="M38" i="16"/>
  <c r="O37" i="16"/>
  <c r="N37" i="16"/>
  <c r="M37" i="16"/>
  <c r="P37" i="16" s="1"/>
  <c r="O36" i="16"/>
  <c r="N36" i="16"/>
  <c r="M36" i="16"/>
  <c r="O35" i="16"/>
  <c r="N35" i="16"/>
  <c r="M35" i="16"/>
  <c r="P35" i="16" s="1"/>
  <c r="O34" i="16"/>
  <c r="N34" i="16"/>
  <c r="M34" i="16"/>
  <c r="O33" i="16"/>
  <c r="N33" i="16"/>
  <c r="M33" i="16"/>
  <c r="P33" i="16" s="1"/>
  <c r="O32" i="16"/>
  <c r="N32" i="16"/>
  <c r="M32" i="16"/>
  <c r="O31" i="16"/>
  <c r="N31" i="16"/>
  <c r="M31" i="16"/>
  <c r="P31" i="16" s="1"/>
  <c r="O30" i="16"/>
  <c r="N30" i="16"/>
  <c r="M30" i="16"/>
  <c r="O29" i="16"/>
  <c r="N29" i="16"/>
  <c r="M29" i="16"/>
  <c r="P29" i="16" s="1"/>
  <c r="O28" i="16"/>
  <c r="N28" i="16"/>
  <c r="M28" i="16"/>
  <c r="O27" i="16"/>
  <c r="N27" i="16"/>
  <c r="M27" i="16"/>
  <c r="P27" i="16" s="1"/>
  <c r="O26" i="16"/>
  <c r="N26" i="16"/>
  <c r="M26" i="16"/>
  <c r="O25" i="16"/>
  <c r="N25" i="16"/>
  <c r="M25" i="16"/>
  <c r="P25" i="16" s="1"/>
  <c r="O24" i="16"/>
  <c r="N24" i="16"/>
  <c r="M24" i="16"/>
  <c r="O23" i="16"/>
  <c r="N23" i="16"/>
  <c r="M23" i="16"/>
  <c r="P23" i="16" s="1"/>
  <c r="O22" i="16"/>
  <c r="N22" i="16"/>
  <c r="M22" i="16"/>
  <c r="O21" i="16"/>
  <c r="N21" i="16"/>
  <c r="M21" i="16"/>
  <c r="P21" i="16" s="1"/>
  <c r="O20" i="16"/>
  <c r="N20" i="16"/>
  <c r="M20" i="16"/>
  <c r="O19" i="16"/>
  <c r="N19" i="16"/>
  <c r="M19" i="16"/>
  <c r="P19" i="16" s="1"/>
  <c r="O18" i="16"/>
  <c r="N18" i="16"/>
  <c r="M18" i="16"/>
  <c r="O17" i="16"/>
  <c r="N17" i="16"/>
  <c r="M17" i="16"/>
  <c r="P17" i="16" s="1"/>
  <c r="O16" i="16"/>
  <c r="N16" i="16"/>
  <c r="M16" i="16"/>
  <c r="O15" i="16"/>
  <c r="N15" i="16"/>
  <c r="M15" i="16"/>
  <c r="P15" i="16" s="1"/>
  <c r="O14" i="16"/>
  <c r="N14" i="16"/>
  <c r="M14" i="16"/>
  <c r="O13" i="16"/>
  <c r="N13" i="16"/>
  <c r="M13" i="16"/>
  <c r="P13" i="16" s="1"/>
  <c r="O12" i="16"/>
  <c r="N12" i="16"/>
  <c r="M12" i="16"/>
  <c r="O11" i="16"/>
  <c r="N11" i="16"/>
  <c r="M11" i="16"/>
  <c r="P11" i="16" s="1"/>
  <c r="O10" i="16"/>
  <c r="N10" i="16"/>
  <c r="M10" i="16"/>
  <c r="O9" i="16"/>
  <c r="N9" i="16"/>
  <c r="M9" i="16"/>
  <c r="P9" i="16" s="1"/>
  <c r="O8" i="16"/>
  <c r="N8" i="16"/>
  <c r="M8" i="16"/>
  <c r="O7" i="16"/>
  <c r="N7" i="16"/>
  <c r="M7" i="16"/>
  <c r="P7" i="16" s="1"/>
  <c r="O6" i="16"/>
  <c r="N6" i="16"/>
  <c r="M6" i="16"/>
  <c r="O5" i="16"/>
  <c r="N5" i="16"/>
  <c r="M5" i="16"/>
  <c r="P5" i="16" s="1"/>
  <c r="D15" i="15"/>
  <c r="C15" i="15"/>
  <c r="B15" i="15"/>
  <c r="D14" i="15"/>
  <c r="C14" i="15"/>
  <c r="B14" i="15"/>
  <c r="D13" i="15"/>
  <c r="C13" i="15"/>
  <c r="B13" i="15"/>
  <c r="D12" i="15"/>
  <c r="C12" i="15"/>
  <c r="B12" i="15"/>
  <c r="D11" i="15"/>
  <c r="C11" i="15"/>
  <c r="B11" i="15"/>
  <c r="D10" i="15"/>
  <c r="C10" i="15"/>
  <c r="B10" i="15"/>
  <c r="D9" i="15"/>
  <c r="C9" i="15"/>
  <c r="B9" i="15"/>
  <c r="D8" i="15"/>
  <c r="C8" i="15"/>
  <c r="B8" i="15"/>
  <c r="D7" i="15"/>
  <c r="C7" i="15"/>
  <c r="B7" i="15"/>
  <c r="D6" i="15"/>
  <c r="C6" i="15"/>
  <c r="B6" i="15"/>
  <c r="D5" i="15"/>
  <c r="C5" i="15"/>
  <c r="B5" i="15"/>
  <c r="O44" i="14"/>
  <c r="N44" i="14"/>
  <c r="M44" i="14"/>
  <c r="P44" i="14" s="1"/>
  <c r="O43" i="14"/>
  <c r="N43" i="14"/>
  <c r="M43" i="14"/>
  <c r="O42" i="14"/>
  <c r="N42" i="14"/>
  <c r="M42" i="14"/>
  <c r="P42" i="14" s="1"/>
  <c r="O41" i="14"/>
  <c r="N41" i="14"/>
  <c r="M41" i="14"/>
  <c r="O40" i="14"/>
  <c r="N40" i="14"/>
  <c r="M40" i="14"/>
  <c r="P40" i="14" s="1"/>
  <c r="O39" i="14"/>
  <c r="N39" i="14"/>
  <c r="M39" i="14"/>
  <c r="O38" i="14"/>
  <c r="N38" i="14"/>
  <c r="M38" i="14"/>
  <c r="P38" i="14" s="1"/>
  <c r="O37" i="14"/>
  <c r="N37" i="14"/>
  <c r="M37" i="14"/>
  <c r="O36" i="14"/>
  <c r="N36" i="14"/>
  <c r="M36" i="14"/>
  <c r="P36" i="14" s="1"/>
  <c r="O35" i="14"/>
  <c r="N35" i="14"/>
  <c r="M35" i="14"/>
  <c r="O34" i="14"/>
  <c r="N34" i="14"/>
  <c r="M34" i="14"/>
  <c r="P34" i="14" s="1"/>
  <c r="O33" i="14"/>
  <c r="N33" i="14"/>
  <c r="M33" i="14"/>
  <c r="O32" i="14"/>
  <c r="N32" i="14"/>
  <c r="M32" i="14"/>
  <c r="P32" i="14" s="1"/>
  <c r="O31" i="14"/>
  <c r="N31" i="14"/>
  <c r="M31" i="14"/>
  <c r="O30" i="14"/>
  <c r="N30" i="14"/>
  <c r="M30" i="14"/>
  <c r="P30" i="14" s="1"/>
  <c r="O29" i="14"/>
  <c r="N29" i="14"/>
  <c r="M29" i="14"/>
  <c r="O28" i="14"/>
  <c r="N28" i="14"/>
  <c r="M28" i="14"/>
  <c r="P28" i="14" s="1"/>
  <c r="O27" i="14"/>
  <c r="N27" i="14"/>
  <c r="M27" i="14"/>
  <c r="O26" i="14"/>
  <c r="N26" i="14"/>
  <c r="M26" i="14"/>
  <c r="P26" i="14" s="1"/>
  <c r="O25" i="14"/>
  <c r="N25" i="14"/>
  <c r="M25" i="14"/>
  <c r="O24" i="14"/>
  <c r="N24" i="14"/>
  <c r="M24" i="14"/>
  <c r="P24" i="14" s="1"/>
  <c r="O23" i="14"/>
  <c r="N23" i="14"/>
  <c r="M23" i="14"/>
  <c r="O22" i="14"/>
  <c r="N22" i="14"/>
  <c r="M22" i="14"/>
  <c r="P22" i="14" s="1"/>
  <c r="O21" i="14"/>
  <c r="N21" i="14"/>
  <c r="M21" i="14"/>
  <c r="O20" i="14"/>
  <c r="N20" i="14"/>
  <c r="M20" i="14"/>
  <c r="P20" i="14" s="1"/>
  <c r="O19" i="14"/>
  <c r="N19" i="14"/>
  <c r="M19" i="14"/>
  <c r="O18" i="14"/>
  <c r="N18" i="14"/>
  <c r="M18" i="14"/>
  <c r="P18" i="14" s="1"/>
  <c r="O17" i="14"/>
  <c r="N17" i="14"/>
  <c r="M17" i="14"/>
  <c r="O16" i="14"/>
  <c r="N16" i="14"/>
  <c r="M16" i="14"/>
  <c r="P16" i="14" s="1"/>
  <c r="O15" i="14"/>
  <c r="N15" i="14"/>
  <c r="M15" i="14"/>
  <c r="O14" i="14"/>
  <c r="N14" i="14"/>
  <c r="M14" i="14"/>
  <c r="P14" i="14" s="1"/>
  <c r="O13" i="14"/>
  <c r="N13" i="14"/>
  <c r="M13" i="14"/>
  <c r="O12" i="14"/>
  <c r="N12" i="14"/>
  <c r="M12" i="14"/>
  <c r="P12" i="14" s="1"/>
  <c r="O11" i="14"/>
  <c r="N11" i="14"/>
  <c r="M11" i="14"/>
  <c r="O10" i="14"/>
  <c r="N10" i="14"/>
  <c r="M10" i="14"/>
  <c r="P10" i="14" s="1"/>
  <c r="O9" i="14"/>
  <c r="N9" i="14"/>
  <c r="M9" i="14"/>
  <c r="O8" i="14"/>
  <c r="N8" i="14"/>
  <c r="M8" i="14"/>
  <c r="P8" i="14" s="1"/>
  <c r="O7" i="14"/>
  <c r="N7" i="14"/>
  <c r="M7" i="14"/>
  <c r="O6" i="14"/>
  <c r="N6" i="14"/>
  <c r="M6" i="14"/>
  <c r="P6" i="14" s="1"/>
  <c r="O5" i="14"/>
  <c r="N5" i="14"/>
  <c r="M5" i="14"/>
  <c r="D16" i="13"/>
  <c r="C16" i="13"/>
  <c r="B16" i="13"/>
  <c r="D14" i="13"/>
  <c r="C14" i="13"/>
  <c r="B14" i="13"/>
  <c r="D13" i="13"/>
  <c r="C13" i="13"/>
  <c r="B13" i="13"/>
  <c r="D12" i="13"/>
  <c r="C12" i="13"/>
  <c r="B12" i="13"/>
  <c r="D11" i="13"/>
  <c r="C11" i="13"/>
  <c r="B11" i="13"/>
  <c r="D10" i="13"/>
  <c r="C10" i="13"/>
  <c r="B10" i="13"/>
  <c r="D9" i="13"/>
  <c r="C9" i="13"/>
  <c r="B9" i="13"/>
  <c r="D8" i="13"/>
  <c r="C8" i="13"/>
  <c r="B8" i="13"/>
  <c r="D7" i="13"/>
  <c r="C7" i="13"/>
  <c r="B7" i="13"/>
  <c r="D6" i="13"/>
  <c r="C6" i="13"/>
  <c r="B6" i="13"/>
  <c r="D5" i="13"/>
  <c r="C5" i="13"/>
  <c r="B5" i="13"/>
  <c r="D4" i="13"/>
  <c r="C4" i="13"/>
  <c r="B4" i="13"/>
  <c r="O44" i="10"/>
  <c r="N44" i="10"/>
  <c r="M44" i="10"/>
  <c r="P44" i="10" s="1"/>
  <c r="O43" i="10"/>
  <c r="N43" i="10"/>
  <c r="M43" i="10"/>
  <c r="O42" i="10"/>
  <c r="N42" i="10"/>
  <c r="M42" i="10"/>
  <c r="P42" i="10" s="1"/>
  <c r="O41" i="10"/>
  <c r="N41" i="10"/>
  <c r="M41" i="10"/>
  <c r="O40" i="10"/>
  <c r="N40" i="10"/>
  <c r="M40" i="10"/>
  <c r="O39" i="10"/>
  <c r="N39" i="10"/>
  <c r="P39" i="10" s="1"/>
  <c r="M39" i="10"/>
  <c r="O38" i="10"/>
  <c r="N38" i="10"/>
  <c r="M38" i="10"/>
  <c r="O37" i="10"/>
  <c r="N37" i="10"/>
  <c r="P37" i="10" s="1"/>
  <c r="M37" i="10"/>
  <c r="O36" i="10"/>
  <c r="N36" i="10"/>
  <c r="M36" i="10"/>
  <c r="O35" i="10"/>
  <c r="N35" i="10"/>
  <c r="P35" i="10" s="1"/>
  <c r="M35" i="10"/>
  <c r="O34" i="10"/>
  <c r="N34" i="10"/>
  <c r="M34" i="10"/>
  <c r="O33" i="10"/>
  <c r="N33" i="10"/>
  <c r="P33" i="10" s="1"/>
  <c r="M33" i="10"/>
  <c r="O32" i="10"/>
  <c r="N32" i="10"/>
  <c r="M32" i="10"/>
  <c r="O31" i="10"/>
  <c r="N31" i="10"/>
  <c r="P31" i="10" s="1"/>
  <c r="M31" i="10"/>
  <c r="O30" i="10"/>
  <c r="N30" i="10"/>
  <c r="M30" i="10"/>
  <c r="O29" i="10"/>
  <c r="N29" i="10"/>
  <c r="P29" i="10" s="1"/>
  <c r="M29" i="10"/>
  <c r="O28" i="10"/>
  <c r="N28" i="10"/>
  <c r="M28" i="10"/>
  <c r="O27" i="10"/>
  <c r="N27" i="10"/>
  <c r="P27" i="10" s="1"/>
  <c r="M27" i="10"/>
  <c r="O26" i="10"/>
  <c r="N26" i="10"/>
  <c r="M26" i="10"/>
  <c r="O25" i="10"/>
  <c r="N25" i="10"/>
  <c r="P25" i="10" s="1"/>
  <c r="M25" i="10"/>
  <c r="O24" i="10"/>
  <c r="N24" i="10"/>
  <c r="M24" i="10"/>
  <c r="O23" i="10"/>
  <c r="N23" i="10"/>
  <c r="P23" i="10" s="1"/>
  <c r="M23" i="10"/>
  <c r="O22" i="10"/>
  <c r="N22" i="10"/>
  <c r="M22" i="10"/>
  <c r="O21" i="10"/>
  <c r="N21" i="10"/>
  <c r="P21" i="10" s="1"/>
  <c r="M21" i="10"/>
  <c r="O20" i="10"/>
  <c r="N20" i="10"/>
  <c r="M20" i="10"/>
  <c r="O19" i="10"/>
  <c r="N19" i="10"/>
  <c r="P19" i="10" s="1"/>
  <c r="M19" i="10"/>
  <c r="O18" i="10"/>
  <c r="N18" i="10"/>
  <c r="M18" i="10"/>
  <c r="O17" i="10"/>
  <c r="N17" i="10"/>
  <c r="P17" i="10" s="1"/>
  <c r="M17" i="10"/>
  <c r="O16" i="10"/>
  <c r="N16" i="10"/>
  <c r="M16" i="10"/>
  <c r="O15" i="10"/>
  <c r="N15" i="10"/>
  <c r="P15" i="10" s="1"/>
  <c r="M15" i="10"/>
  <c r="O14" i="10"/>
  <c r="N14" i="10"/>
  <c r="M14" i="10"/>
  <c r="O13" i="10"/>
  <c r="N13" i="10"/>
  <c r="P13" i="10" s="1"/>
  <c r="M13" i="10"/>
  <c r="O12" i="10"/>
  <c r="N12" i="10"/>
  <c r="M12" i="10"/>
  <c r="O11" i="10"/>
  <c r="N11" i="10"/>
  <c r="P11" i="10" s="1"/>
  <c r="M11" i="10"/>
  <c r="O10" i="10"/>
  <c r="N10" i="10"/>
  <c r="M10" i="10"/>
  <c r="O9" i="10"/>
  <c r="N9" i="10"/>
  <c r="P9" i="10" s="1"/>
  <c r="M9" i="10"/>
  <c r="O8" i="10"/>
  <c r="N8" i="10"/>
  <c r="M8" i="10"/>
  <c r="O7" i="10"/>
  <c r="N7" i="10"/>
  <c r="P7" i="10" s="1"/>
  <c r="M7" i="10"/>
  <c r="O6" i="10"/>
  <c r="N6" i="10"/>
  <c r="M6" i="10"/>
  <c r="O5" i="10"/>
  <c r="N5" i="10"/>
  <c r="P5" i="10" s="1"/>
  <c r="M5" i="10"/>
  <c r="E44" i="5"/>
  <c r="C44" i="5"/>
  <c r="E43" i="5"/>
  <c r="C43" i="5"/>
  <c r="E42" i="5"/>
  <c r="C42" i="5"/>
  <c r="E41" i="5"/>
  <c r="C41" i="5"/>
  <c r="E40" i="5"/>
  <c r="C40" i="5"/>
  <c r="E39" i="5"/>
  <c r="C39" i="5"/>
  <c r="E38" i="5"/>
  <c r="C38" i="5"/>
  <c r="E37" i="5"/>
  <c r="C37" i="5"/>
  <c r="E36" i="5"/>
  <c r="C36" i="5"/>
  <c r="E35" i="5"/>
  <c r="C35" i="5"/>
  <c r="E34" i="5"/>
  <c r="C34" i="5"/>
  <c r="E33" i="5"/>
  <c r="C33" i="5"/>
  <c r="E32" i="5"/>
  <c r="C32" i="5"/>
  <c r="E31" i="5"/>
  <c r="C31" i="5"/>
  <c r="E30" i="5"/>
  <c r="C30" i="5"/>
  <c r="E29" i="5"/>
  <c r="C29" i="5"/>
  <c r="E28" i="5"/>
  <c r="C28" i="5"/>
  <c r="E27" i="5"/>
  <c r="C27" i="5"/>
  <c r="E26" i="5"/>
  <c r="C26" i="5"/>
  <c r="E25" i="5"/>
  <c r="C25" i="5"/>
  <c r="E24" i="5"/>
  <c r="C24" i="5"/>
  <c r="E23" i="5"/>
  <c r="C23" i="5"/>
  <c r="E22" i="5"/>
  <c r="C22" i="5"/>
  <c r="E21" i="5"/>
  <c r="C21" i="5"/>
  <c r="E20" i="5"/>
  <c r="C20" i="5"/>
  <c r="E19" i="5"/>
  <c r="C19" i="5"/>
  <c r="E18" i="5"/>
  <c r="C18" i="5"/>
  <c r="E17" i="5"/>
  <c r="C17" i="5"/>
  <c r="E16" i="5"/>
  <c r="C16" i="5"/>
  <c r="E15" i="5"/>
  <c r="C15" i="5"/>
  <c r="E14" i="5"/>
  <c r="C14" i="5"/>
  <c r="E13" i="5"/>
  <c r="C13" i="5"/>
  <c r="E12" i="5"/>
  <c r="C12" i="5"/>
  <c r="E11" i="5"/>
  <c r="C11" i="5"/>
  <c r="E10" i="5"/>
  <c r="C10" i="5"/>
  <c r="E9" i="5"/>
  <c r="C9" i="5"/>
  <c r="E8" i="5"/>
  <c r="C8" i="5"/>
  <c r="E7" i="5"/>
  <c r="C7" i="5"/>
  <c r="E6" i="5"/>
  <c r="C6" i="5"/>
  <c r="E5" i="5"/>
  <c r="C5" i="5"/>
  <c r="EZ33" i="1"/>
  <c r="AO33" i="1"/>
  <c r="FJ32" i="1"/>
  <c r="FB32" i="1"/>
  <c r="FA32" i="1"/>
  <c r="AQ32" i="1"/>
  <c r="AP32" i="1"/>
  <c r="FT31" i="1"/>
  <c r="FL31" i="1"/>
  <c r="FK31" i="1"/>
  <c r="FB31" i="1"/>
  <c r="FA31" i="1"/>
  <c r="AQ31" i="1"/>
  <c r="AP31" i="1"/>
  <c r="FV30" i="1"/>
  <c r="FU30" i="1"/>
  <c r="FL30" i="1"/>
  <c r="FK30" i="1"/>
  <c r="FB30" i="1"/>
  <c r="FA30" i="1"/>
  <c r="BN30" i="1"/>
  <c r="AY30" i="1"/>
  <c r="AQ30" i="1"/>
  <c r="AP30" i="1"/>
  <c r="FV29" i="1"/>
  <c r="FU29" i="1"/>
  <c r="FL29" i="1"/>
  <c r="FK29" i="1"/>
  <c r="FB29" i="1"/>
  <c r="FA29" i="1"/>
  <c r="BP29" i="1"/>
  <c r="BO29" i="1"/>
  <c r="BA29" i="1"/>
  <c r="AZ29" i="1"/>
  <c r="AQ29" i="1"/>
  <c r="AP29" i="1"/>
  <c r="P29" i="1"/>
  <c r="F29" i="1"/>
  <c r="FV28" i="1"/>
  <c r="FU28" i="1"/>
  <c r="FL28" i="1"/>
  <c r="FK28" i="1"/>
  <c r="FB28" i="1"/>
  <c r="FA28" i="1"/>
  <c r="BP28" i="1"/>
  <c r="BO28" i="1"/>
  <c r="BA28" i="1"/>
  <c r="AZ28" i="1"/>
  <c r="AQ28" i="1"/>
  <c r="AP28" i="1"/>
  <c r="AJ28" i="1"/>
  <c r="R28" i="1"/>
  <c r="Q28" i="1"/>
  <c r="H28" i="1"/>
  <c r="G28" i="1"/>
  <c r="FV27" i="1"/>
  <c r="FU27" i="1"/>
  <c r="FL27" i="1"/>
  <c r="FK27" i="1"/>
  <c r="FB27" i="1"/>
  <c r="FA27" i="1"/>
  <c r="EA27" i="1"/>
  <c r="BP27" i="1"/>
  <c r="BO27" i="1"/>
  <c r="BA27" i="1"/>
  <c r="AZ27" i="1"/>
  <c r="AQ27" i="1"/>
  <c r="AP27" i="1"/>
  <c r="AL27" i="1"/>
  <c r="AK27" i="1"/>
  <c r="R27" i="1"/>
  <c r="Q27" i="1"/>
  <c r="H27" i="1"/>
  <c r="G27" i="1"/>
  <c r="GD26" i="1"/>
  <c r="FV26" i="1"/>
  <c r="FU26" i="1"/>
  <c r="FL26" i="1"/>
  <c r="FK26" i="1"/>
  <c r="FB26" i="1"/>
  <c r="FA26" i="1"/>
  <c r="EC26" i="1"/>
  <c r="EB26" i="1"/>
  <c r="DB26" i="1"/>
  <c r="BP26" i="1"/>
  <c r="BO26" i="1"/>
  <c r="BA26" i="1"/>
  <c r="AZ26" i="1"/>
  <c r="AQ26" i="1"/>
  <c r="AP26" i="1"/>
  <c r="AL26" i="1"/>
  <c r="AK26" i="1"/>
  <c r="R26" i="1"/>
  <c r="Q26" i="1"/>
  <c r="K26" i="1"/>
  <c r="H26" i="1"/>
  <c r="G26" i="1"/>
  <c r="GF25" i="1"/>
  <c r="GE25" i="1"/>
  <c r="FV25" i="1"/>
  <c r="FU25" i="1"/>
  <c r="FL25" i="1"/>
  <c r="FK25" i="1"/>
  <c r="FB25" i="1"/>
  <c r="FA25" i="1"/>
  <c r="EC25" i="1"/>
  <c r="EB25" i="1"/>
  <c r="DD25" i="1"/>
  <c r="DC25" i="1"/>
  <c r="CW25" i="1"/>
  <c r="BP25" i="1"/>
  <c r="BO25" i="1"/>
  <c r="BA25" i="1"/>
  <c r="AZ25" i="1"/>
  <c r="AQ25" i="1"/>
  <c r="AP25" i="1"/>
  <c r="AL25" i="1"/>
  <c r="AK25" i="1"/>
  <c r="R25" i="1"/>
  <c r="Q25" i="1"/>
  <c r="M25" i="1"/>
  <c r="L25" i="1"/>
  <c r="H25" i="1"/>
  <c r="G25" i="1"/>
  <c r="GN24" i="1"/>
  <c r="GF24" i="1"/>
  <c r="GE24" i="1"/>
  <c r="FV24" i="1"/>
  <c r="FU24" i="1"/>
  <c r="FL24" i="1"/>
  <c r="FK24" i="1"/>
  <c r="FB24" i="1"/>
  <c r="FA24" i="1"/>
  <c r="EC24" i="1"/>
  <c r="EB24" i="1"/>
  <c r="DQ24" i="1"/>
  <c r="DL24" i="1"/>
  <c r="DD24" i="1"/>
  <c r="DC24" i="1"/>
  <c r="CY24" i="1"/>
  <c r="CX24" i="1"/>
  <c r="CC24" i="1"/>
  <c r="BS24" i="1"/>
  <c r="BP24" i="1"/>
  <c r="BO24" i="1"/>
  <c r="BA24" i="1"/>
  <c r="AZ24" i="1"/>
  <c r="AT24" i="1"/>
  <c r="AQ24" i="1"/>
  <c r="AP24" i="1"/>
  <c r="AL24" i="1"/>
  <c r="AK24" i="1"/>
  <c r="R24" i="1"/>
  <c r="Q24" i="1"/>
  <c r="M24" i="1"/>
  <c r="L24" i="1"/>
  <c r="H24" i="1"/>
  <c r="G24" i="1"/>
  <c r="GP23" i="1"/>
  <c r="GO23" i="1"/>
  <c r="GF23" i="1"/>
  <c r="GE23" i="1"/>
  <c r="FV23" i="1"/>
  <c r="FU23" i="1"/>
  <c r="FL23" i="1"/>
  <c r="FK23" i="1"/>
  <c r="FB23" i="1"/>
  <c r="FA23" i="1"/>
  <c r="EU23" i="1"/>
  <c r="EC23" i="1"/>
  <c r="EB23" i="1"/>
  <c r="DS23" i="1"/>
  <c r="DR23" i="1"/>
  <c r="DN23" i="1"/>
  <c r="DM23" i="1"/>
  <c r="DD23" i="1"/>
  <c r="DC23" i="1"/>
  <c r="CY23" i="1"/>
  <c r="CX23" i="1"/>
  <c r="CH23" i="1"/>
  <c r="CE23" i="1"/>
  <c r="CD23" i="1"/>
  <c r="BU23" i="1"/>
  <c r="BT23" i="1"/>
  <c r="BP23" i="1"/>
  <c r="BO23" i="1"/>
  <c r="BA23" i="1"/>
  <c r="AZ23" i="1"/>
  <c r="AV23" i="1"/>
  <c r="AU23" i="1"/>
  <c r="AQ23" i="1"/>
  <c r="AP23" i="1"/>
  <c r="AL23" i="1"/>
  <c r="AK23" i="1"/>
  <c r="U23" i="1"/>
  <c r="R23" i="1"/>
  <c r="Q23" i="1"/>
  <c r="M23" i="1"/>
  <c r="L23" i="1"/>
  <c r="H23" i="1"/>
  <c r="G23" i="1"/>
  <c r="GS22" i="1"/>
  <c r="GP22" i="1"/>
  <c r="GO22" i="1"/>
  <c r="GF22" i="1"/>
  <c r="GE22" i="1"/>
  <c r="FV22" i="1"/>
  <c r="FU22" i="1"/>
  <c r="FL22" i="1"/>
  <c r="FK22" i="1"/>
  <c r="FE22" i="1"/>
  <c r="FB22" i="1"/>
  <c r="FA22" i="1"/>
  <c r="EW22" i="1"/>
  <c r="EV22" i="1"/>
  <c r="EC22" i="1"/>
  <c r="EB22" i="1"/>
  <c r="DS22" i="1"/>
  <c r="DR22" i="1"/>
  <c r="DN22" i="1"/>
  <c r="DM22" i="1"/>
  <c r="DD22" i="1"/>
  <c r="DC22" i="1"/>
  <c r="CY22" i="1"/>
  <c r="CX22" i="1"/>
  <c r="CJ22" i="1"/>
  <c r="CI22" i="1"/>
  <c r="CE22" i="1"/>
  <c r="CD22" i="1"/>
  <c r="BU22" i="1"/>
  <c r="BT22" i="1"/>
  <c r="BP22" i="1"/>
  <c r="BO22" i="1"/>
  <c r="BA22" i="1"/>
  <c r="AZ22" i="1"/>
  <c r="AV22" i="1"/>
  <c r="AU22" i="1"/>
  <c r="AQ22" i="1"/>
  <c r="AP22" i="1"/>
  <c r="AL22" i="1"/>
  <c r="AK22" i="1"/>
  <c r="W22" i="1"/>
  <c r="V22" i="1"/>
  <c r="R22" i="1"/>
  <c r="Q22" i="1"/>
  <c r="M22" i="1"/>
  <c r="L22" i="1"/>
  <c r="H22" i="1"/>
  <c r="G22" i="1"/>
  <c r="GU21" i="1"/>
  <c r="GT21" i="1"/>
  <c r="GP21" i="1"/>
  <c r="GO21" i="1"/>
  <c r="GF21" i="1"/>
  <c r="GE21" i="1"/>
  <c r="FY21" i="1"/>
  <c r="FV21" i="1"/>
  <c r="FU21" i="1"/>
  <c r="FO21" i="1"/>
  <c r="FL21" i="1"/>
  <c r="FK21" i="1"/>
  <c r="FG21" i="1"/>
  <c r="FF21" i="1"/>
  <c r="FB21" i="1"/>
  <c r="FA21" i="1"/>
  <c r="EW21" i="1"/>
  <c r="EV21" i="1"/>
  <c r="EC21" i="1"/>
  <c r="EB21" i="1"/>
  <c r="DS21" i="1"/>
  <c r="DR21" i="1"/>
  <c r="DN21" i="1"/>
  <c r="DM21" i="1"/>
  <c r="DG21" i="1"/>
  <c r="DD21" i="1"/>
  <c r="DC21" i="1"/>
  <c r="CY21" i="1"/>
  <c r="CX21" i="1"/>
  <c r="CJ21" i="1"/>
  <c r="CI21" i="1"/>
  <c r="CE21" i="1"/>
  <c r="CD21" i="1"/>
  <c r="BU21" i="1"/>
  <c r="BT21" i="1"/>
  <c r="BP21" i="1"/>
  <c r="BO21" i="1"/>
  <c r="BA21" i="1"/>
  <c r="AZ21" i="1"/>
  <c r="AV21" i="1"/>
  <c r="AU21" i="1"/>
  <c r="AQ21" i="1"/>
  <c r="AP21" i="1"/>
  <c r="AL21" i="1"/>
  <c r="AK21" i="1"/>
  <c r="W21" i="1"/>
  <c r="V21" i="1"/>
  <c r="R21" i="1"/>
  <c r="Q21" i="1"/>
  <c r="M21" i="1"/>
  <c r="L21" i="1"/>
  <c r="H21" i="1"/>
  <c r="G21" i="1"/>
  <c r="GU20" i="1"/>
  <c r="GT20" i="1"/>
  <c r="GP20" i="1"/>
  <c r="GO20" i="1"/>
  <c r="GF20" i="1"/>
  <c r="GE20" i="1"/>
  <c r="GA20" i="1"/>
  <c r="FZ20" i="1"/>
  <c r="FV20" i="1"/>
  <c r="FU20" i="1"/>
  <c r="FQ20" i="1"/>
  <c r="FP20" i="1"/>
  <c r="FL20" i="1"/>
  <c r="FK20" i="1"/>
  <c r="FG20" i="1"/>
  <c r="FF20" i="1"/>
  <c r="FB20" i="1"/>
  <c r="FA20" i="1"/>
  <c r="EW20" i="1"/>
  <c r="EV20" i="1"/>
  <c r="EC20" i="1"/>
  <c r="EB20" i="1"/>
  <c r="DS20" i="1"/>
  <c r="DR20" i="1"/>
  <c r="DN20" i="1"/>
  <c r="DM20" i="1"/>
  <c r="DI20" i="1"/>
  <c r="DH20" i="1"/>
  <c r="DD20" i="1"/>
  <c r="DC20" i="1"/>
  <c r="CY20" i="1"/>
  <c r="CX20" i="1"/>
  <c r="CJ20" i="1"/>
  <c r="CI20" i="1"/>
  <c r="CE20" i="1"/>
  <c r="CD20" i="1"/>
  <c r="BX20" i="1"/>
  <c r="BU20" i="1"/>
  <c r="BT20" i="1"/>
  <c r="BP20" i="1"/>
  <c r="BO20" i="1"/>
  <c r="BI20" i="1"/>
  <c r="BD20" i="1"/>
  <c r="BA20" i="1"/>
  <c r="AZ20" i="1"/>
  <c r="AV20" i="1"/>
  <c r="AU20" i="1"/>
  <c r="AQ20" i="1"/>
  <c r="AP20" i="1"/>
  <c r="AL20" i="1"/>
  <c r="AK20" i="1"/>
  <c r="Z20" i="1"/>
  <c r="W20" i="1"/>
  <c r="V20" i="1"/>
  <c r="R20" i="1"/>
  <c r="Q20" i="1"/>
  <c r="M20" i="1"/>
  <c r="L20" i="1"/>
  <c r="H20" i="1"/>
  <c r="G20" i="1"/>
  <c r="GU19" i="1"/>
  <c r="GT19" i="1"/>
  <c r="GP19" i="1"/>
  <c r="GO19" i="1"/>
  <c r="GF19" i="1"/>
  <c r="GE19" i="1"/>
  <c r="GA19" i="1"/>
  <c r="FZ19" i="1"/>
  <c r="FV19" i="1"/>
  <c r="FU19" i="1"/>
  <c r="FQ19" i="1"/>
  <c r="FP19" i="1"/>
  <c r="FL19" i="1"/>
  <c r="FK19" i="1"/>
  <c r="FG19" i="1"/>
  <c r="FF19" i="1"/>
  <c r="FB19" i="1"/>
  <c r="FA19" i="1"/>
  <c r="EW19" i="1"/>
  <c r="EV19" i="1"/>
  <c r="EC19" i="1"/>
  <c r="EB19" i="1"/>
  <c r="DS19" i="1"/>
  <c r="DR19" i="1"/>
  <c r="DN19" i="1"/>
  <c r="DM19" i="1"/>
  <c r="DI19" i="1"/>
  <c r="DH19" i="1"/>
  <c r="DD19" i="1"/>
  <c r="DC19" i="1"/>
  <c r="CY19" i="1"/>
  <c r="CX19" i="1"/>
  <c r="CJ19" i="1"/>
  <c r="CI19" i="1"/>
  <c r="CE19" i="1"/>
  <c r="CD19" i="1"/>
  <c r="BZ19" i="1"/>
  <c r="BY19" i="1"/>
  <c r="BU19" i="1"/>
  <c r="BT19" i="1"/>
  <c r="BP19" i="1"/>
  <c r="BO19" i="1"/>
  <c r="BK19" i="1"/>
  <c r="BJ19" i="1"/>
  <c r="BF19" i="1"/>
  <c r="BE19" i="1"/>
  <c r="BA19" i="1"/>
  <c r="AZ19" i="1"/>
  <c r="AV19" i="1"/>
  <c r="AU19" i="1"/>
  <c r="AQ19" i="1"/>
  <c r="AP19" i="1"/>
  <c r="AL19" i="1"/>
  <c r="AK19" i="1"/>
  <c r="AE19" i="1"/>
  <c r="AB19" i="1"/>
  <c r="AA19" i="1"/>
  <c r="W19" i="1"/>
  <c r="V19" i="1"/>
  <c r="R19" i="1"/>
  <c r="Q19" i="1"/>
  <c r="M19" i="1"/>
  <c r="L19" i="1"/>
  <c r="H19" i="1"/>
  <c r="G19" i="1"/>
  <c r="GU18" i="1"/>
  <c r="GT18" i="1"/>
  <c r="GP18" i="1"/>
  <c r="GO18" i="1"/>
  <c r="GI18" i="1"/>
  <c r="GF18" i="1"/>
  <c r="GE18" i="1"/>
  <c r="GA18" i="1"/>
  <c r="FZ18" i="1"/>
  <c r="FV18" i="1"/>
  <c r="FU18" i="1"/>
  <c r="FQ18" i="1"/>
  <c r="FP18" i="1"/>
  <c r="FL18" i="1"/>
  <c r="FK18" i="1"/>
  <c r="FG18" i="1"/>
  <c r="FF18" i="1"/>
  <c r="FB18" i="1"/>
  <c r="FA18" i="1"/>
  <c r="EW18" i="1"/>
  <c r="EV18" i="1"/>
  <c r="EK18" i="1"/>
  <c r="EF18" i="1"/>
  <c r="EC18" i="1"/>
  <c r="EB18" i="1"/>
  <c r="DS18" i="1"/>
  <c r="DR18" i="1"/>
  <c r="DN18" i="1"/>
  <c r="DM18" i="1"/>
  <c r="DI18" i="1"/>
  <c r="DH18" i="1"/>
  <c r="DD18" i="1"/>
  <c r="DC18" i="1"/>
  <c r="CY18" i="1"/>
  <c r="CX18" i="1"/>
  <c r="CR18" i="1"/>
  <c r="CJ18" i="1"/>
  <c r="CI18" i="1"/>
  <c r="CI23" i="1" s="1"/>
  <c r="CE18" i="1"/>
  <c r="CD18" i="1"/>
  <c r="CD24" i="1" s="1"/>
  <c r="BZ18" i="1"/>
  <c r="BY18" i="1"/>
  <c r="BU18" i="1"/>
  <c r="BT18" i="1"/>
  <c r="BP18" i="1"/>
  <c r="BO18" i="1"/>
  <c r="BK18" i="1"/>
  <c r="BJ18" i="1"/>
  <c r="BJ20" i="1" s="1"/>
  <c r="BF18" i="1"/>
  <c r="BE18" i="1"/>
  <c r="BA18" i="1"/>
  <c r="AZ18" i="1"/>
  <c r="AZ30" i="1" s="1"/>
  <c r="AV18" i="1"/>
  <c r="AU18" i="1"/>
  <c r="AU24" i="1" s="1"/>
  <c r="AQ18" i="1"/>
  <c r="AP18" i="1"/>
  <c r="AP33" i="1" s="1"/>
  <c r="AL18" i="1"/>
  <c r="AK18" i="1"/>
  <c r="AG18" i="1"/>
  <c r="AF18" i="1"/>
  <c r="AB18" i="1"/>
  <c r="AA18" i="1"/>
  <c r="AA20" i="1" s="1"/>
  <c r="W18" i="1"/>
  <c r="V18" i="1"/>
  <c r="R18" i="1"/>
  <c r="Q18" i="1"/>
  <c r="M18" i="1"/>
  <c r="L18" i="1"/>
  <c r="H18" i="1"/>
  <c r="G18" i="1"/>
  <c r="G29" i="1" s="1"/>
  <c r="GU17" i="1"/>
  <c r="GT17" i="1"/>
  <c r="GT22" i="1" s="1"/>
  <c r="GP17" i="1"/>
  <c r="GO17" i="1"/>
  <c r="GK17" i="1"/>
  <c r="GJ17" i="1"/>
  <c r="GJ18" i="1" s="1"/>
  <c r="GF17" i="1"/>
  <c r="GE17" i="1"/>
  <c r="GA17" i="1"/>
  <c r="FZ17" i="1"/>
  <c r="FZ21" i="1" s="1"/>
  <c r="FV17" i="1"/>
  <c r="FU17" i="1"/>
  <c r="FU31" i="1" s="1"/>
  <c r="FQ17" i="1"/>
  <c r="FP17" i="1"/>
  <c r="FL17" i="1"/>
  <c r="FK17" i="1"/>
  <c r="FG17" i="1"/>
  <c r="FF17" i="1"/>
  <c r="FB17" i="1"/>
  <c r="FA17" i="1"/>
  <c r="EW17" i="1"/>
  <c r="EV17" i="1"/>
  <c r="EM17" i="1"/>
  <c r="EL17" i="1"/>
  <c r="EH17" i="1"/>
  <c r="EG17" i="1"/>
  <c r="EC17" i="1"/>
  <c r="EB17" i="1"/>
  <c r="DV17" i="1"/>
  <c r="DS17" i="1"/>
  <c r="DR17" i="1"/>
  <c r="DN17" i="1"/>
  <c r="DM17" i="1"/>
  <c r="DI17" i="1"/>
  <c r="DH17" i="1"/>
  <c r="DD17" i="1"/>
  <c r="DC17" i="1"/>
  <c r="CY17" i="1"/>
  <c r="CX17" i="1"/>
  <c r="CT17" i="1"/>
  <c r="CS17" i="1"/>
  <c r="CJ17" i="1"/>
  <c r="CI17" i="1"/>
  <c r="CE17" i="1"/>
  <c r="CD17" i="1"/>
  <c r="BZ17" i="1"/>
  <c r="BY17" i="1"/>
  <c r="BU17" i="1"/>
  <c r="BT17" i="1"/>
  <c r="BP17" i="1"/>
  <c r="BO17" i="1"/>
  <c r="BK17" i="1"/>
  <c r="BJ17" i="1"/>
  <c r="BF17" i="1"/>
  <c r="BE17" i="1"/>
  <c r="BA17" i="1"/>
  <c r="AZ17" i="1"/>
  <c r="AV17" i="1"/>
  <c r="AU17" i="1"/>
  <c r="AQ17" i="1"/>
  <c r="AP17" i="1"/>
  <c r="AL17" i="1"/>
  <c r="AK17" i="1"/>
  <c r="AG17" i="1"/>
  <c r="AF17" i="1"/>
  <c r="AB17" i="1"/>
  <c r="AA17" i="1"/>
  <c r="W17" i="1"/>
  <c r="V17" i="1"/>
  <c r="R17" i="1"/>
  <c r="Q17" i="1"/>
  <c r="M17" i="1"/>
  <c r="L17" i="1"/>
  <c r="H17" i="1"/>
  <c r="G17" i="1"/>
  <c r="GU16" i="1"/>
  <c r="GT16" i="1"/>
  <c r="GP16" i="1"/>
  <c r="GO16" i="1"/>
  <c r="GK16" i="1"/>
  <c r="GJ16" i="1"/>
  <c r="GF16" i="1"/>
  <c r="GE16" i="1"/>
  <c r="GA16" i="1"/>
  <c r="FZ16" i="1"/>
  <c r="FV16" i="1"/>
  <c r="FU16" i="1"/>
  <c r="FQ16" i="1"/>
  <c r="FP16" i="1"/>
  <c r="FL16" i="1"/>
  <c r="FK16" i="1"/>
  <c r="FG16" i="1"/>
  <c r="FF16" i="1"/>
  <c r="FB16" i="1"/>
  <c r="FA16" i="1"/>
  <c r="EW16" i="1"/>
  <c r="EV16" i="1"/>
  <c r="EP16" i="1"/>
  <c r="EM16" i="1"/>
  <c r="EL16" i="1"/>
  <c r="EH16" i="1"/>
  <c r="EG16" i="1"/>
  <c r="EG18" i="1" s="1"/>
  <c r="EC16" i="1"/>
  <c r="EB16" i="1"/>
  <c r="EB27" i="1" s="1"/>
  <c r="DX16" i="1"/>
  <c r="DW16" i="1"/>
  <c r="DW17" i="1" s="1"/>
  <c r="DS16" i="1"/>
  <c r="DR16" i="1"/>
  <c r="DR24" i="1" s="1"/>
  <c r="DN16" i="1"/>
  <c r="DM16" i="1"/>
  <c r="DI16" i="1"/>
  <c r="DH16" i="1"/>
  <c r="DH21" i="1" s="1"/>
  <c r="DD16" i="1"/>
  <c r="DC16" i="1"/>
  <c r="DC26" i="1" s="1"/>
  <c r="CY16" i="1"/>
  <c r="CX16" i="1"/>
  <c r="CX25" i="1" s="1"/>
  <c r="CT16" i="1"/>
  <c r="CS16" i="1"/>
  <c r="CM16" i="1"/>
  <c r="CJ16" i="1"/>
  <c r="CI16" i="1"/>
  <c r="CE16" i="1"/>
  <c r="CD16" i="1"/>
  <c r="BZ16" i="1"/>
  <c r="BY16" i="1"/>
  <c r="BU16" i="1"/>
  <c r="BT16" i="1"/>
  <c r="BP16" i="1"/>
  <c r="BO16" i="1"/>
  <c r="BK16" i="1"/>
  <c r="BJ16" i="1"/>
  <c r="BF16" i="1"/>
  <c r="BE16" i="1"/>
  <c r="BA16" i="1"/>
  <c r="AZ16" i="1"/>
  <c r="AV16" i="1"/>
  <c r="AU16" i="1"/>
  <c r="AQ16" i="1"/>
  <c r="AP16" i="1"/>
  <c r="AL16" i="1"/>
  <c r="AK16" i="1"/>
  <c r="AG16" i="1"/>
  <c r="AF16" i="1"/>
  <c r="AB16" i="1"/>
  <c r="AA16" i="1"/>
  <c r="W16" i="1"/>
  <c r="V16" i="1"/>
  <c r="R16" i="1"/>
  <c r="Q16" i="1"/>
  <c r="M16" i="1"/>
  <c r="L16" i="1"/>
  <c r="H16" i="1"/>
  <c r="G16" i="1"/>
  <c r="GU15" i="1"/>
  <c r="GT15" i="1"/>
  <c r="GP15" i="1"/>
  <c r="GO15" i="1"/>
  <c r="GK15" i="1"/>
  <c r="GJ15" i="1"/>
  <c r="GF15" i="1"/>
  <c r="GE15" i="1"/>
  <c r="GA15" i="1"/>
  <c r="FZ15" i="1"/>
  <c r="FV15" i="1"/>
  <c r="FU15" i="1"/>
  <c r="FQ15" i="1"/>
  <c r="FP15" i="1"/>
  <c r="FL15" i="1"/>
  <c r="FK15" i="1"/>
  <c r="FG15" i="1"/>
  <c r="FF15" i="1"/>
  <c r="FB15" i="1"/>
  <c r="FA15" i="1"/>
  <c r="EW15" i="1"/>
  <c r="EV15" i="1"/>
  <c r="ER15" i="1"/>
  <c r="EQ15" i="1"/>
  <c r="EM15" i="1"/>
  <c r="EL15" i="1"/>
  <c r="EH15" i="1"/>
  <c r="EG15" i="1"/>
  <c r="EC15" i="1"/>
  <c r="EB15" i="1"/>
  <c r="DX15" i="1"/>
  <c r="DW15" i="1"/>
  <c r="DS15" i="1"/>
  <c r="DR15" i="1"/>
  <c r="DN15" i="1"/>
  <c r="DM15" i="1"/>
  <c r="DI15" i="1"/>
  <c r="DH15" i="1"/>
  <c r="DD15" i="1"/>
  <c r="DC15" i="1"/>
  <c r="CY15" i="1"/>
  <c r="CX15" i="1"/>
  <c r="CT15" i="1"/>
  <c r="CS15" i="1"/>
  <c r="CO15" i="1"/>
  <c r="CN15" i="1"/>
  <c r="CJ15" i="1"/>
  <c r="CI15" i="1"/>
  <c r="CE15" i="1"/>
  <c r="CD15" i="1"/>
  <c r="BZ15" i="1"/>
  <c r="BY15" i="1"/>
  <c r="BU15" i="1"/>
  <c r="BT15" i="1"/>
  <c r="BP15" i="1"/>
  <c r="BO15" i="1"/>
  <c r="BK15" i="1"/>
  <c r="BJ15" i="1"/>
  <c r="BF15" i="1"/>
  <c r="BE15" i="1"/>
  <c r="BA15" i="1"/>
  <c r="AZ15" i="1"/>
  <c r="AV15" i="1"/>
  <c r="AU15" i="1"/>
  <c r="AQ15" i="1"/>
  <c r="AP15" i="1"/>
  <c r="AL15" i="1"/>
  <c r="AK15" i="1"/>
  <c r="AG15" i="1"/>
  <c r="AF15" i="1"/>
  <c r="AB15" i="1"/>
  <c r="AA15" i="1"/>
  <c r="W15" i="1"/>
  <c r="V15" i="1"/>
  <c r="R15" i="1"/>
  <c r="Q15" i="1"/>
  <c r="M15" i="1"/>
  <c r="L15" i="1"/>
  <c r="H15" i="1"/>
  <c r="G15" i="1"/>
  <c r="GU14" i="1"/>
  <c r="GT14" i="1"/>
  <c r="GP14" i="1"/>
  <c r="GO14" i="1"/>
  <c r="GK14" i="1"/>
  <c r="GJ14" i="1"/>
  <c r="GF14" i="1"/>
  <c r="GE14" i="1"/>
  <c r="GA14" i="1"/>
  <c r="FZ14" i="1"/>
  <c r="FV14" i="1"/>
  <c r="FU14" i="1"/>
  <c r="FQ14" i="1"/>
  <c r="FP14" i="1"/>
  <c r="FL14" i="1"/>
  <c r="FK14" i="1"/>
  <c r="FG14" i="1"/>
  <c r="FF14" i="1"/>
  <c r="FB14" i="1"/>
  <c r="FA14" i="1"/>
  <c r="EW14" i="1"/>
  <c r="EV14" i="1"/>
  <c r="ER14" i="1"/>
  <c r="EQ14" i="1"/>
  <c r="EM14" i="1"/>
  <c r="EL14" i="1"/>
  <c r="EH14" i="1"/>
  <c r="EG14" i="1"/>
  <c r="EC14" i="1"/>
  <c r="EB14" i="1"/>
  <c r="DX14" i="1"/>
  <c r="DW14" i="1"/>
  <c r="DS14" i="1"/>
  <c r="DR14" i="1"/>
  <c r="DN14" i="1"/>
  <c r="DM14" i="1"/>
  <c r="DI14" i="1"/>
  <c r="DH14" i="1"/>
  <c r="DD14" i="1"/>
  <c r="DC14" i="1"/>
  <c r="CY14" i="1"/>
  <c r="CX14" i="1"/>
  <c r="CT14" i="1"/>
  <c r="CS14" i="1"/>
  <c r="CO14" i="1"/>
  <c r="CN14" i="1"/>
  <c r="CJ14" i="1"/>
  <c r="CI14" i="1"/>
  <c r="CE14" i="1"/>
  <c r="CD14" i="1"/>
  <c r="BZ14" i="1"/>
  <c r="BY14" i="1"/>
  <c r="BU14" i="1"/>
  <c r="BT14" i="1"/>
  <c r="BP14" i="1"/>
  <c r="BO14" i="1"/>
  <c r="BK14" i="1"/>
  <c r="BJ14" i="1"/>
  <c r="BF14" i="1"/>
  <c r="BE14" i="1"/>
  <c r="BA14" i="1"/>
  <c r="AZ14" i="1"/>
  <c r="AV14" i="1"/>
  <c r="AU14" i="1"/>
  <c r="AQ14" i="1"/>
  <c r="AP14" i="1"/>
  <c r="AL14" i="1"/>
  <c r="AK14" i="1"/>
  <c r="AG14" i="1"/>
  <c r="AF14" i="1"/>
  <c r="AB14" i="1"/>
  <c r="AA14" i="1"/>
  <c r="W14" i="1"/>
  <c r="V14" i="1"/>
  <c r="R14" i="1"/>
  <c r="Q14" i="1"/>
  <c r="M14" i="1"/>
  <c r="L14" i="1"/>
  <c r="H14" i="1"/>
  <c r="G14" i="1"/>
  <c r="GU13" i="1"/>
  <c r="GT13" i="1"/>
  <c r="GP13" i="1"/>
  <c r="GO13" i="1"/>
  <c r="GK13" i="1"/>
  <c r="GJ13" i="1"/>
  <c r="GF13" i="1"/>
  <c r="GE13" i="1"/>
  <c r="GA13" i="1"/>
  <c r="FZ13" i="1"/>
  <c r="FV13" i="1"/>
  <c r="FU13" i="1"/>
  <c r="FQ13" i="1"/>
  <c r="FP13" i="1"/>
  <c r="FL13" i="1"/>
  <c r="FK13" i="1"/>
  <c r="FG13" i="1"/>
  <c r="FF13" i="1"/>
  <c r="FB13" i="1"/>
  <c r="FA13" i="1"/>
  <c r="EW13" i="1"/>
  <c r="EV13" i="1"/>
  <c r="ER13" i="1"/>
  <c r="EQ13" i="1"/>
  <c r="EM13" i="1"/>
  <c r="EL13" i="1"/>
  <c r="EH13" i="1"/>
  <c r="EG13" i="1"/>
  <c r="EC13" i="1"/>
  <c r="EB13" i="1"/>
  <c r="DX13" i="1"/>
  <c r="DW13" i="1"/>
  <c r="DS13" i="1"/>
  <c r="DR13" i="1"/>
  <c r="DN13" i="1"/>
  <c r="DM13" i="1"/>
  <c r="DI13" i="1"/>
  <c r="DH13" i="1"/>
  <c r="DD13" i="1"/>
  <c r="DC13" i="1"/>
  <c r="CY13" i="1"/>
  <c r="CX13" i="1"/>
  <c r="CT13" i="1"/>
  <c r="CS13" i="1"/>
  <c r="CO13" i="1"/>
  <c r="CN13" i="1"/>
  <c r="CJ13" i="1"/>
  <c r="CI13" i="1"/>
  <c r="CE13" i="1"/>
  <c r="CD13" i="1"/>
  <c r="BZ13" i="1"/>
  <c r="BY13" i="1"/>
  <c r="BU13" i="1"/>
  <c r="BT13" i="1"/>
  <c r="BP13" i="1"/>
  <c r="BO13" i="1"/>
  <c r="BK13" i="1"/>
  <c r="BJ13" i="1"/>
  <c r="BF13" i="1"/>
  <c r="BE13" i="1"/>
  <c r="BA13" i="1"/>
  <c r="AZ13" i="1"/>
  <c r="AV13" i="1"/>
  <c r="AU13" i="1"/>
  <c r="AQ13" i="1"/>
  <c r="AP13" i="1"/>
  <c r="AL13" i="1"/>
  <c r="AK13" i="1"/>
  <c r="AG13" i="1"/>
  <c r="AF13" i="1"/>
  <c r="AB13" i="1"/>
  <c r="AA13" i="1"/>
  <c r="W13" i="1"/>
  <c r="V13" i="1"/>
  <c r="R13" i="1"/>
  <c r="Q13" i="1"/>
  <c r="M13" i="1"/>
  <c r="L13" i="1"/>
  <c r="H13" i="1"/>
  <c r="G13" i="1"/>
  <c r="GU12" i="1"/>
  <c r="GT12" i="1"/>
  <c r="GP12" i="1"/>
  <c r="GO12" i="1"/>
  <c r="GK12" i="1"/>
  <c r="GJ12" i="1"/>
  <c r="GF12" i="1"/>
  <c r="GE12" i="1"/>
  <c r="GA12" i="1"/>
  <c r="FZ12" i="1"/>
  <c r="FV12" i="1"/>
  <c r="FU12" i="1"/>
  <c r="FQ12" i="1"/>
  <c r="FP12" i="1"/>
  <c r="FL12" i="1"/>
  <c r="FK12" i="1"/>
  <c r="FG12" i="1"/>
  <c r="FF12" i="1"/>
  <c r="FB12" i="1"/>
  <c r="FA12" i="1"/>
  <c r="EW12" i="1"/>
  <c r="EV12" i="1"/>
  <c r="ER12" i="1"/>
  <c r="EQ12" i="1"/>
  <c r="EM12" i="1"/>
  <c r="EL12" i="1"/>
  <c r="EH12" i="1"/>
  <c r="EG12" i="1"/>
  <c r="EC12" i="1"/>
  <c r="EB12" i="1"/>
  <c r="DX12" i="1"/>
  <c r="DW12" i="1"/>
  <c r="DS12" i="1"/>
  <c r="DR12" i="1"/>
  <c r="DN12" i="1"/>
  <c r="DM12" i="1"/>
  <c r="DI12" i="1"/>
  <c r="DH12" i="1"/>
  <c r="DD12" i="1"/>
  <c r="DC12" i="1"/>
  <c r="CY12" i="1"/>
  <c r="CX12" i="1"/>
  <c r="CT12" i="1"/>
  <c r="CS12" i="1"/>
  <c r="CO12" i="1"/>
  <c r="CN12" i="1"/>
  <c r="CJ12" i="1"/>
  <c r="CI12" i="1"/>
  <c r="CE12" i="1"/>
  <c r="CD12" i="1"/>
  <c r="BZ12" i="1"/>
  <c r="BY12" i="1"/>
  <c r="BU12" i="1"/>
  <c r="BT12" i="1"/>
  <c r="BP12" i="1"/>
  <c r="BO12" i="1"/>
  <c r="BK12" i="1"/>
  <c r="BJ12" i="1"/>
  <c r="BF12" i="1"/>
  <c r="BE12" i="1"/>
  <c r="BA12" i="1"/>
  <c r="AZ12" i="1"/>
  <c r="AV12" i="1"/>
  <c r="AU12" i="1"/>
  <c r="AQ12" i="1"/>
  <c r="AP12" i="1"/>
  <c r="AL12" i="1"/>
  <c r="AK12" i="1"/>
  <c r="AG12" i="1"/>
  <c r="AF12" i="1"/>
  <c r="AB12" i="1"/>
  <c r="AA12" i="1"/>
  <c r="W12" i="1"/>
  <c r="V12" i="1"/>
  <c r="R12" i="1"/>
  <c r="Q12" i="1"/>
  <c r="M12" i="1"/>
  <c r="L12" i="1"/>
  <c r="H12" i="1"/>
  <c r="G12" i="1"/>
  <c r="GU11" i="1"/>
  <c r="GT11" i="1"/>
  <c r="GP11" i="1"/>
  <c r="GO11" i="1"/>
  <c r="GK11" i="1"/>
  <c r="GJ11" i="1"/>
  <c r="GF11" i="1"/>
  <c r="GE11" i="1"/>
  <c r="GA11" i="1"/>
  <c r="FZ11" i="1"/>
  <c r="FV11" i="1"/>
  <c r="FU11" i="1"/>
  <c r="FQ11" i="1"/>
  <c r="FP11" i="1"/>
  <c r="FL11" i="1"/>
  <c r="FK11" i="1"/>
  <c r="FG11" i="1"/>
  <c r="FF11" i="1"/>
  <c r="FB11" i="1"/>
  <c r="FA11" i="1"/>
  <c r="EW11" i="1"/>
  <c r="EV11" i="1"/>
  <c r="ER11" i="1"/>
  <c r="EQ11" i="1"/>
  <c r="EM11" i="1"/>
  <c r="EL11" i="1"/>
  <c r="EH11" i="1"/>
  <c r="EG11" i="1"/>
  <c r="EC11" i="1"/>
  <c r="EB11" i="1"/>
  <c r="DX11" i="1"/>
  <c r="DW11" i="1"/>
  <c r="DS11" i="1"/>
  <c r="DR11" i="1"/>
  <c r="DN11" i="1"/>
  <c r="DM11" i="1"/>
  <c r="DI11" i="1"/>
  <c r="DH11" i="1"/>
  <c r="DD11" i="1"/>
  <c r="DC11" i="1"/>
  <c r="CY11" i="1"/>
  <c r="CX11" i="1"/>
  <c r="CT11" i="1"/>
  <c r="CS11" i="1"/>
  <c r="CO11" i="1"/>
  <c r="CN11" i="1"/>
  <c r="CJ11" i="1"/>
  <c r="CI11" i="1"/>
  <c r="CE11" i="1"/>
  <c r="CD11" i="1"/>
  <c r="BZ11" i="1"/>
  <c r="BY11" i="1"/>
  <c r="BU11" i="1"/>
  <c r="BT11" i="1"/>
  <c r="BP11" i="1"/>
  <c r="BO11" i="1"/>
  <c r="BK11" i="1"/>
  <c r="BJ11" i="1"/>
  <c r="BF11" i="1"/>
  <c r="BE11" i="1"/>
  <c r="BA11" i="1"/>
  <c r="AZ11" i="1"/>
  <c r="AV11" i="1"/>
  <c r="AU11" i="1"/>
  <c r="AQ11" i="1"/>
  <c r="AP11" i="1"/>
  <c r="AL11" i="1"/>
  <c r="AK11" i="1"/>
  <c r="AG11" i="1"/>
  <c r="AF11" i="1"/>
  <c r="AB11" i="1"/>
  <c r="AA11" i="1"/>
  <c r="W11" i="1"/>
  <c r="V11" i="1"/>
  <c r="R11" i="1"/>
  <c r="Q11" i="1"/>
  <c r="M11" i="1"/>
  <c r="L11" i="1"/>
  <c r="H11" i="1"/>
  <c r="G11" i="1"/>
  <c r="GU10" i="1"/>
  <c r="GT10" i="1"/>
  <c r="GP10" i="1"/>
  <c r="GO10" i="1"/>
  <c r="GK10" i="1"/>
  <c r="GJ10" i="1"/>
  <c r="GF10" i="1"/>
  <c r="GE10" i="1"/>
  <c r="GA10" i="1"/>
  <c r="FZ10" i="1"/>
  <c r="FV10" i="1"/>
  <c r="FU10" i="1"/>
  <c r="FQ10" i="1"/>
  <c r="FP10" i="1"/>
  <c r="FL10" i="1"/>
  <c r="FK10" i="1"/>
  <c r="FG10" i="1"/>
  <c r="FF10" i="1"/>
  <c r="FB10" i="1"/>
  <c r="FA10" i="1"/>
  <c r="EW10" i="1"/>
  <c r="EV10" i="1"/>
  <c r="ER10" i="1"/>
  <c r="EQ10" i="1"/>
  <c r="EM10" i="1"/>
  <c r="EL10" i="1"/>
  <c r="EH10" i="1"/>
  <c r="EG10" i="1"/>
  <c r="EC10" i="1"/>
  <c r="EB10" i="1"/>
  <c r="DX10" i="1"/>
  <c r="DW10" i="1"/>
  <c r="DS10" i="1"/>
  <c r="DR10" i="1"/>
  <c r="DN10" i="1"/>
  <c r="DM10" i="1"/>
  <c r="DI10" i="1"/>
  <c r="DH10" i="1"/>
  <c r="DD10" i="1"/>
  <c r="DC10" i="1"/>
  <c r="CY10" i="1"/>
  <c r="CX10" i="1"/>
  <c r="CT10" i="1"/>
  <c r="CS10" i="1"/>
  <c r="CO10" i="1"/>
  <c r="CN10" i="1"/>
  <c r="CJ10" i="1"/>
  <c r="CI10" i="1"/>
  <c r="CE10" i="1"/>
  <c r="CD10" i="1"/>
  <c r="BZ10" i="1"/>
  <c r="BY10" i="1"/>
  <c r="BU10" i="1"/>
  <c r="BT10" i="1"/>
  <c r="BP10" i="1"/>
  <c r="BO10" i="1"/>
  <c r="BK10" i="1"/>
  <c r="BJ10" i="1"/>
  <c r="BF10" i="1"/>
  <c r="BE10" i="1"/>
  <c r="BA10" i="1"/>
  <c r="AZ10" i="1"/>
  <c r="AV10" i="1"/>
  <c r="AU10" i="1"/>
  <c r="AQ10" i="1"/>
  <c r="AP10" i="1"/>
  <c r="AL10" i="1"/>
  <c r="AK10" i="1"/>
  <c r="AG10" i="1"/>
  <c r="AF10" i="1"/>
  <c r="AB10" i="1"/>
  <c r="AA10" i="1"/>
  <c r="W10" i="1"/>
  <c r="V10" i="1"/>
  <c r="R10" i="1"/>
  <c r="Q10" i="1"/>
  <c r="M10" i="1"/>
  <c r="L10" i="1"/>
  <c r="H10" i="1"/>
  <c r="G10" i="1"/>
  <c r="GU9" i="1"/>
  <c r="GT9" i="1"/>
  <c r="GP9" i="1"/>
  <c r="GO9" i="1"/>
  <c r="GK9" i="1"/>
  <c r="GJ9" i="1"/>
  <c r="GF9" i="1"/>
  <c r="GE9" i="1"/>
  <c r="GA9" i="1"/>
  <c r="FZ9" i="1"/>
  <c r="FV9" i="1"/>
  <c r="FU9" i="1"/>
  <c r="FQ9" i="1"/>
  <c r="FP9" i="1"/>
  <c r="FL9" i="1"/>
  <c r="FK9" i="1"/>
  <c r="FG9" i="1"/>
  <c r="FF9" i="1"/>
  <c r="FB9" i="1"/>
  <c r="FA9" i="1"/>
  <c r="EW9" i="1"/>
  <c r="EV9" i="1"/>
  <c r="ER9" i="1"/>
  <c r="EQ9" i="1"/>
  <c r="EM9" i="1"/>
  <c r="EL9" i="1"/>
  <c r="EH9" i="1"/>
  <c r="EG9" i="1"/>
  <c r="EC9" i="1"/>
  <c r="EB9" i="1"/>
  <c r="DX9" i="1"/>
  <c r="DW9" i="1"/>
  <c r="DS9" i="1"/>
  <c r="DR9" i="1"/>
  <c r="DN9" i="1"/>
  <c r="DM9" i="1"/>
  <c r="DI9" i="1"/>
  <c r="DH9" i="1"/>
  <c r="DD9" i="1"/>
  <c r="DC9" i="1"/>
  <c r="CY9" i="1"/>
  <c r="CX9" i="1"/>
  <c r="CT9" i="1"/>
  <c r="CS9" i="1"/>
  <c r="CO9" i="1"/>
  <c r="CN9" i="1"/>
  <c r="CJ9" i="1"/>
  <c r="CI9" i="1"/>
  <c r="CE9" i="1"/>
  <c r="CD9" i="1"/>
  <c r="BZ9" i="1"/>
  <c r="BY9" i="1"/>
  <c r="BU9" i="1"/>
  <c r="BT9" i="1"/>
  <c r="BP9" i="1"/>
  <c r="BO9" i="1"/>
  <c r="BK9" i="1"/>
  <c r="BJ9" i="1"/>
  <c r="BF9" i="1"/>
  <c r="BE9" i="1"/>
  <c r="BA9" i="1"/>
  <c r="AZ9" i="1"/>
  <c r="AV9" i="1"/>
  <c r="AU9" i="1"/>
  <c r="AQ9" i="1"/>
  <c r="AP9" i="1"/>
  <c r="AL9" i="1"/>
  <c r="AK9" i="1"/>
  <c r="AG9" i="1"/>
  <c r="AF9" i="1"/>
  <c r="AB9" i="1"/>
  <c r="AA9" i="1"/>
  <c r="W9" i="1"/>
  <c r="V9" i="1"/>
  <c r="R9" i="1"/>
  <c r="Q9" i="1"/>
  <c r="M9" i="1"/>
  <c r="L9" i="1"/>
  <c r="H9" i="1"/>
  <c r="G9" i="1"/>
  <c r="GU8" i="1"/>
  <c r="GT8" i="1"/>
  <c r="GP8" i="1"/>
  <c r="GO8" i="1"/>
  <c r="GK8" i="1"/>
  <c r="GJ8" i="1"/>
  <c r="GF8" i="1"/>
  <c r="GE8" i="1"/>
  <c r="GA8" i="1"/>
  <c r="FZ8" i="1"/>
  <c r="FV8" i="1"/>
  <c r="FU8" i="1"/>
  <c r="FQ8" i="1"/>
  <c r="FP8" i="1"/>
  <c r="FL8" i="1"/>
  <c r="FK8" i="1"/>
  <c r="FG8" i="1"/>
  <c r="FF8" i="1"/>
  <c r="FB8" i="1"/>
  <c r="FA8" i="1"/>
  <c r="EW8" i="1"/>
  <c r="EV8" i="1"/>
  <c r="ER8" i="1"/>
  <c r="EQ8" i="1"/>
  <c r="EM8" i="1"/>
  <c r="EL8" i="1"/>
  <c r="EH8" i="1"/>
  <c r="EG8" i="1"/>
  <c r="EC8" i="1"/>
  <c r="EB8" i="1"/>
  <c r="DX8" i="1"/>
  <c r="DW8" i="1"/>
  <c r="DS8" i="1"/>
  <c r="DR8" i="1"/>
  <c r="DN8" i="1"/>
  <c r="DM8" i="1"/>
  <c r="DI8" i="1"/>
  <c r="DH8" i="1"/>
  <c r="DD8" i="1"/>
  <c r="DC8" i="1"/>
  <c r="CY8" i="1"/>
  <c r="CX8" i="1"/>
  <c r="CT8" i="1"/>
  <c r="CS8" i="1"/>
  <c r="CO8" i="1"/>
  <c r="CN8" i="1"/>
  <c r="CJ8" i="1"/>
  <c r="CI8" i="1"/>
  <c r="CE8" i="1"/>
  <c r="CD8" i="1"/>
  <c r="BZ8" i="1"/>
  <c r="BY8" i="1"/>
  <c r="BU8" i="1"/>
  <c r="BT8" i="1"/>
  <c r="BP8" i="1"/>
  <c r="BO8" i="1"/>
  <c r="BK8" i="1"/>
  <c r="BJ8" i="1"/>
  <c r="BF8" i="1"/>
  <c r="BE8" i="1"/>
  <c r="BA8" i="1"/>
  <c r="AZ8" i="1"/>
  <c r="AV8" i="1"/>
  <c r="AU8" i="1"/>
  <c r="AQ8" i="1"/>
  <c r="AP8" i="1"/>
  <c r="AL8" i="1"/>
  <c r="AK8" i="1"/>
  <c r="AG8" i="1"/>
  <c r="AF8" i="1"/>
  <c r="AB8" i="1"/>
  <c r="AA8" i="1"/>
  <c r="W8" i="1"/>
  <c r="V8" i="1"/>
  <c r="R8" i="1"/>
  <c r="Q8" i="1"/>
  <c r="M8" i="1"/>
  <c r="L8" i="1"/>
  <c r="H8" i="1"/>
  <c r="G8" i="1"/>
  <c r="GU7" i="1"/>
  <c r="GT7" i="1"/>
  <c r="GP7" i="1"/>
  <c r="GO7" i="1"/>
  <c r="GK7" i="1"/>
  <c r="GJ7" i="1"/>
  <c r="GF7" i="1"/>
  <c r="GE7" i="1"/>
  <c r="GA7" i="1"/>
  <c r="FZ7" i="1"/>
  <c r="FV7" i="1"/>
  <c r="FU7" i="1"/>
  <c r="FQ7" i="1"/>
  <c r="FP7" i="1"/>
  <c r="FL7" i="1"/>
  <c r="FK7" i="1"/>
  <c r="FG7" i="1"/>
  <c r="FF7" i="1"/>
  <c r="FB7" i="1"/>
  <c r="FA7" i="1"/>
  <c r="EW7" i="1"/>
  <c r="EV7" i="1"/>
  <c r="ER7" i="1"/>
  <c r="EQ7" i="1"/>
  <c r="EM7" i="1"/>
  <c r="EL7" i="1"/>
  <c r="EH7" i="1"/>
  <c r="EG7" i="1"/>
  <c r="EC7" i="1"/>
  <c r="EB7" i="1"/>
  <c r="DX7" i="1"/>
  <c r="DW7" i="1"/>
  <c r="DS7" i="1"/>
  <c r="DR7" i="1"/>
  <c r="DN7" i="1"/>
  <c r="DM7" i="1"/>
  <c r="DI7" i="1"/>
  <c r="DH7" i="1"/>
  <c r="DD7" i="1"/>
  <c r="DC7" i="1"/>
  <c r="CY7" i="1"/>
  <c r="CX7" i="1"/>
  <c r="CT7" i="1"/>
  <c r="CS7" i="1"/>
  <c r="CO7" i="1"/>
  <c r="CN7" i="1"/>
  <c r="CJ7" i="1"/>
  <c r="CI7" i="1"/>
  <c r="CE7" i="1"/>
  <c r="CD7" i="1"/>
  <c r="BZ7" i="1"/>
  <c r="BY7" i="1"/>
  <c r="BU7" i="1"/>
  <c r="BT7" i="1"/>
  <c r="BP7" i="1"/>
  <c r="BO7" i="1"/>
  <c r="BK7" i="1"/>
  <c r="BJ7" i="1"/>
  <c r="BF7" i="1"/>
  <c r="BE7" i="1"/>
  <c r="BA7" i="1"/>
  <c r="AZ7" i="1"/>
  <c r="AV7" i="1"/>
  <c r="AU7" i="1"/>
  <c r="AQ7" i="1"/>
  <c r="AP7" i="1"/>
  <c r="AL7" i="1"/>
  <c r="AK7" i="1"/>
  <c r="AG7" i="1"/>
  <c r="AF7" i="1"/>
  <c r="AB7" i="1"/>
  <c r="AA7" i="1"/>
  <c r="W7" i="1"/>
  <c r="V7" i="1"/>
  <c r="R7" i="1"/>
  <c r="Q7" i="1"/>
  <c r="M7" i="1"/>
  <c r="L7" i="1"/>
  <c r="H7" i="1"/>
  <c r="G7" i="1"/>
  <c r="GU6" i="1"/>
  <c r="GT6" i="1"/>
  <c r="GP6" i="1"/>
  <c r="GO6" i="1"/>
  <c r="GK6" i="1"/>
  <c r="GJ6" i="1"/>
  <c r="GF6" i="1"/>
  <c r="GE6" i="1"/>
  <c r="GA6" i="1"/>
  <c r="FZ6" i="1"/>
  <c r="FV6" i="1"/>
  <c r="FU6" i="1"/>
  <c r="FQ6" i="1"/>
  <c r="FP6" i="1"/>
  <c r="FL6" i="1"/>
  <c r="FK6" i="1"/>
  <c r="FG6" i="1"/>
  <c r="FF6" i="1"/>
  <c r="FB6" i="1"/>
  <c r="FA6" i="1"/>
  <c r="EW6" i="1"/>
  <c r="EV6" i="1"/>
  <c r="ER6" i="1"/>
  <c r="EQ6" i="1"/>
  <c r="EM6" i="1"/>
  <c r="EL6" i="1"/>
  <c r="EH6" i="1"/>
  <c r="EG6" i="1"/>
  <c r="EC6" i="1"/>
  <c r="EB6" i="1"/>
  <c r="DX6" i="1"/>
  <c r="DW6" i="1"/>
  <c r="DS6" i="1"/>
  <c r="DR6" i="1"/>
  <c r="DN6" i="1"/>
  <c r="DM6" i="1"/>
  <c r="DI6" i="1"/>
  <c r="DH6" i="1"/>
  <c r="DD6" i="1"/>
  <c r="DC6" i="1"/>
  <c r="CY6" i="1"/>
  <c r="CX6" i="1"/>
  <c r="CT6" i="1"/>
  <c r="CS6" i="1"/>
  <c r="CO6" i="1"/>
  <c r="CN6" i="1"/>
  <c r="CJ6" i="1"/>
  <c r="CI6" i="1"/>
  <c r="CE6" i="1"/>
  <c r="CD6" i="1"/>
  <c r="BZ6" i="1"/>
  <c r="BY6" i="1"/>
  <c r="BU6" i="1"/>
  <c r="BT6" i="1"/>
  <c r="BP6" i="1"/>
  <c r="BO6" i="1"/>
  <c r="BK6" i="1"/>
  <c r="BJ6" i="1"/>
  <c r="BF6" i="1"/>
  <c r="BE6" i="1"/>
  <c r="BA6" i="1"/>
  <c r="AZ6" i="1"/>
  <c r="AV6" i="1"/>
  <c r="AU6" i="1"/>
  <c r="AQ6" i="1"/>
  <c r="AP6" i="1"/>
  <c r="AL6" i="1"/>
  <c r="AK6" i="1"/>
  <c r="AG6" i="1"/>
  <c r="AF6" i="1"/>
  <c r="AB6" i="1"/>
  <c r="AA6" i="1"/>
  <c r="W6" i="1"/>
  <c r="V6" i="1"/>
  <c r="R6" i="1"/>
  <c r="Q6" i="1"/>
  <c r="M6" i="1"/>
  <c r="L6" i="1"/>
  <c r="H6" i="1"/>
  <c r="G6" i="1"/>
  <c r="GU5" i="1"/>
  <c r="GT5" i="1"/>
  <c r="GP5" i="1"/>
  <c r="GO5" i="1"/>
  <c r="GK5" i="1"/>
  <c r="GJ5" i="1"/>
  <c r="GF5" i="1"/>
  <c r="GE5" i="1"/>
  <c r="GA5" i="1"/>
  <c r="GA21" i="1" s="1"/>
  <c r="FZ5" i="1"/>
  <c r="FV5" i="1"/>
  <c r="FV31" i="1" s="1"/>
  <c r="FU5" i="1"/>
  <c r="FQ5" i="1"/>
  <c r="FQ21" i="1" s="1"/>
  <c r="FP5" i="1"/>
  <c r="FL5" i="1"/>
  <c r="FL32" i="1" s="1"/>
  <c r="FK5" i="1"/>
  <c r="FG5" i="1"/>
  <c r="FG22" i="1" s="1"/>
  <c r="FF5" i="1"/>
  <c r="FB5" i="1"/>
  <c r="FB33" i="1" s="1"/>
  <c r="FA5" i="1"/>
  <c r="EW5" i="1"/>
  <c r="EW23" i="1" s="1"/>
  <c r="EV5" i="1"/>
  <c r="ER5" i="1"/>
  <c r="ER16" i="1" s="1"/>
  <c r="EQ5" i="1"/>
  <c r="EQ16" i="1" s="1"/>
  <c r="EM5" i="1"/>
  <c r="EM18" i="1" s="1"/>
  <c r="EL5" i="1"/>
  <c r="EH5" i="1"/>
  <c r="EH18" i="1" s="1"/>
  <c r="EG5" i="1"/>
  <c r="EC5" i="1"/>
  <c r="EC27" i="1" s="1"/>
  <c r="EB5" i="1"/>
  <c r="DX5" i="1"/>
  <c r="DX17" i="1" s="1"/>
  <c r="DW5" i="1"/>
  <c r="DS5" i="1"/>
  <c r="DS24" i="1" s="1"/>
  <c r="DR5" i="1"/>
  <c r="DN5" i="1"/>
  <c r="DN24" i="1" s="1"/>
  <c r="DM5" i="1"/>
  <c r="DI5" i="1"/>
  <c r="DI21" i="1" s="1"/>
  <c r="DH5" i="1"/>
  <c r="DD5" i="1"/>
  <c r="DD26" i="1" s="1"/>
  <c r="DC5" i="1"/>
  <c r="CY5" i="1"/>
  <c r="CY25" i="1" s="1"/>
  <c r="CX5" i="1"/>
  <c r="CT5" i="1"/>
  <c r="CT18" i="1" s="1"/>
  <c r="CS5" i="1"/>
  <c r="CO5" i="1"/>
  <c r="CO16" i="1" s="1"/>
  <c r="CN5" i="1"/>
  <c r="CN16" i="1" s="1"/>
  <c r="CJ5" i="1"/>
  <c r="CJ23" i="1" s="1"/>
  <c r="CI5" i="1"/>
  <c r="CE5" i="1"/>
  <c r="CE24" i="1" s="1"/>
  <c r="CD5" i="1"/>
  <c r="BZ5" i="1"/>
  <c r="BZ20" i="1" s="1"/>
  <c r="BY5" i="1"/>
  <c r="BU5" i="1"/>
  <c r="BU24" i="1" s="1"/>
  <c r="BT5" i="1"/>
  <c r="BP5" i="1"/>
  <c r="BP30" i="1" s="1"/>
  <c r="BO5" i="1"/>
  <c r="BK5" i="1"/>
  <c r="BK20" i="1" s="1"/>
  <c r="BJ5" i="1"/>
  <c r="BF5" i="1"/>
  <c r="BF20" i="1" s="1"/>
  <c r="BE5" i="1"/>
  <c r="BA5" i="1"/>
  <c r="BA30" i="1" s="1"/>
  <c r="AZ5" i="1"/>
  <c r="AV5" i="1"/>
  <c r="AV24" i="1" s="1"/>
  <c r="AU5" i="1"/>
  <c r="AQ5" i="1"/>
  <c r="AQ33" i="1" s="1"/>
  <c r="AP5" i="1"/>
  <c r="AL5" i="1"/>
  <c r="AL28" i="1" s="1"/>
  <c r="AK5" i="1"/>
  <c r="AG5" i="1"/>
  <c r="AG19" i="1" s="1"/>
  <c r="AF5" i="1"/>
  <c r="AB5" i="1"/>
  <c r="AB20" i="1" s="1"/>
  <c r="AA5" i="1"/>
  <c r="W5" i="1"/>
  <c r="W23" i="1" s="1"/>
  <c r="V5" i="1"/>
  <c r="R5" i="1"/>
  <c r="R29" i="1" s="1"/>
  <c r="Q5" i="1"/>
  <c r="M5" i="1"/>
  <c r="M26" i="1" s="1"/>
  <c r="L5" i="1"/>
  <c r="H5" i="1"/>
  <c r="H29" i="1" s="1"/>
  <c r="G5" i="1"/>
  <c r="L26" i="1" l="1"/>
  <c r="Q29" i="1"/>
  <c r="V23" i="1"/>
  <c r="AF19" i="1"/>
  <c r="AK28" i="1"/>
  <c r="BE20" i="1"/>
  <c r="BO30" i="1"/>
  <c r="BT24" i="1"/>
  <c r="BY20" i="1"/>
  <c r="CS18" i="1"/>
  <c r="DM24" i="1"/>
  <c r="EL18" i="1"/>
  <c r="EV23" i="1"/>
  <c r="FA33" i="1"/>
  <c r="FF22" i="1"/>
  <c r="FK32" i="1"/>
  <c r="FP21" i="1"/>
  <c r="GE26" i="1"/>
  <c r="GO24" i="1"/>
  <c r="GF26" i="1"/>
  <c r="GK18" i="1"/>
  <c r="GP24" i="1"/>
  <c r="GU22" i="1"/>
  <c r="P6" i="10"/>
  <c r="P8" i="10"/>
  <c r="P10" i="10"/>
  <c r="P12" i="10"/>
  <c r="P14" i="10"/>
  <c r="P16" i="10"/>
  <c r="P18" i="10"/>
  <c r="P20" i="10"/>
  <c r="P22" i="10"/>
  <c r="P24" i="10"/>
  <c r="P26" i="10"/>
  <c r="P28" i="10"/>
  <c r="P30" i="10"/>
  <c r="P32" i="10"/>
  <c r="P34" i="10"/>
  <c r="P36" i="10"/>
  <c r="P38" i="10"/>
  <c r="P40" i="10"/>
  <c r="P43" i="10"/>
  <c r="P5" i="14"/>
  <c r="B50" i="14" s="1"/>
  <c r="P7" i="14"/>
  <c r="P9" i="14"/>
  <c r="P11" i="14"/>
  <c r="P13" i="14"/>
  <c r="P15" i="14"/>
  <c r="P17" i="14"/>
  <c r="P19" i="14"/>
  <c r="P21" i="14"/>
  <c r="P23" i="14"/>
  <c r="P25" i="14"/>
  <c r="P27" i="14"/>
  <c r="P29" i="14"/>
  <c r="P31" i="14"/>
  <c r="P33" i="14"/>
  <c r="P35" i="14"/>
  <c r="P37" i="14"/>
  <c r="P39" i="14"/>
  <c r="P41" i="14"/>
  <c r="P43" i="14"/>
  <c r="P6" i="16"/>
  <c r="P8" i="16"/>
  <c r="P10" i="16"/>
  <c r="P12" i="16"/>
  <c r="P14" i="16"/>
  <c r="P16" i="16"/>
  <c r="P18" i="16"/>
  <c r="P20" i="16"/>
  <c r="P22" i="16"/>
  <c r="P24" i="16"/>
  <c r="P26" i="16"/>
  <c r="P28" i="16"/>
  <c r="P30" i="16"/>
  <c r="P32" i="16"/>
  <c r="P34" i="16"/>
  <c r="P36" i="16"/>
  <c r="P38" i="16"/>
  <c r="P40" i="16"/>
  <c r="P42" i="16"/>
  <c r="P44" i="16"/>
  <c r="P5" i="23"/>
  <c r="P7" i="23"/>
  <c r="P9" i="23"/>
  <c r="P11" i="23"/>
  <c r="P13" i="23"/>
  <c r="P15" i="23"/>
  <c r="P17" i="23"/>
  <c r="P19" i="23"/>
  <c r="P21" i="23"/>
  <c r="P23" i="23"/>
  <c r="P25" i="23"/>
  <c r="P27" i="23"/>
  <c r="P29" i="23"/>
  <c r="P31" i="23"/>
  <c r="P33" i="23"/>
  <c r="P35" i="23"/>
  <c r="P37" i="23"/>
  <c r="P39" i="23"/>
  <c r="P41" i="23"/>
  <c r="P43" i="23"/>
  <c r="B19" i="25"/>
  <c r="P41" i="10"/>
  <c r="B49" i="14"/>
  <c r="B48" i="14" l="1"/>
</calcChain>
</file>

<file path=xl/sharedStrings.xml><?xml version="1.0" encoding="utf-8"?>
<sst xmlns="http://schemas.openxmlformats.org/spreadsheetml/2006/main" count="3805" uniqueCount="1720">
  <si>
    <t>Data Nama Sekolah, Alokasi dana BOS dan Sarpas dan Kumlah Siswa Per-Kecamatan</t>
  </si>
  <si>
    <t>No</t>
  </si>
  <si>
    <t>Arjawinangun</t>
  </si>
  <si>
    <t>Astanajapura</t>
  </si>
  <si>
    <t>Babakan</t>
  </si>
  <si>
    <t>Beber</t>
  </si>
  <si>
    <t>Ciledug</t>
  </si>
  <si>
    <t>Ciwaringin</t>
  </si>
  <si>
    <t>Depok</t>
  </si>
  <si>
    <t>Dukupuntang</t>
  </si>
  <si>
    <t>Gebang</t>
  </si>
  <si>
    <t>Gegesik</t>
  </si>
  <si>
    <t>Gempol</t>
  </si>
  <si>
    <t>Greged</t>
  </si>
  <si>
    <t>Gunungjati</t>
  </si>
  <si>
    <t>Jamblang</t>
  </si>
  <si>
    <t>Kaliwedi</t>
  </si>
  <si>
    <t>Kapetakan</t>
  </si>
  <si>
    <t>Karangsembung</t>
  </si>
  <si>
    <t>Karangwareng</t>
  </si>
  <si>
    <t>Kedawung</t>
  </si>
  <si>
    <t>Klangenan</t>
  </si>
  <si>
    <t>Lemahabang</t>
  </si>
  <si>
    <t>Losari</t>
  </si>
  <si>
    <t>Mundu</t>
  </si>
  <si>
    <t>Pabedilan</t>
  </si>
  <si>
    <t>Pabuaran</t>
  </si>
  <si>
    <t>Palimanan</t>
  </si>
  <si>
    <t>Pangenan</t>
  </si>
  <si>
    <t>Panguragan</t>
  </si>
  <si>
    <t>Pasaleman</t>
  </si>
  <si>
    <t>Plered</t>
  </si>
  <si>
    <t>Plumbon</t>
  </si>
  <si>
    <t>Sedong</t>
  </si>
  <si>
    <t>Sumber</t>
  </si>
  <si>
    <t>Suranenggala</t>
  </si>
  <si>
    <t>Susukan</t>
  </si>
  <si>
    <t>Susukan Lebak</t>
  </si>
  <si>
    <t>Talun</t>
  </si>
  <si>
    <t>Tengahtani</t>
  </si>
  <si>
    <t>Waled</t>
  </si>
  <si>
    <t>Weru</t>
  </si>
  <si>
    <t>NPSN</t>
  </si>
  <si>
    <t>Nama Sekolah</t>
  </si>
  <si>
    <t>Pagu</t>
  </si>
  <si>
    <t>Jumlah Siswa</t>
  </si>
  <si>
    <t>Dana Sarpas</t>
  </si>
  <si>
    <t>20215393</t>
  </si>
  <si>
    <t>SD NEGERI 2 KARANGSAMBUNG</t>
  </si>
  <si>
    <t>20215439</t>
  </si>
  <si>
    <t>SD NEGERI 2 KANCI</t>
  </si>
  <si>
    <t>20215192</t>
  </si>
  <si>
    <t>SD NEGERI 1 CANGKUANG</t>
  </si>
  <si>
    <t>20215335</t>
  </si>
  <si>
    <t>SD NEGERI 2 HALIMPU</t>
  </si>
  <si>
    <t>20215294</t>
  </si>
  <si>
    <t>SD NEGERI 1 CILEDUGTENGAH</t>
  </si>
  <si>
    <t>20215261</t>
  </si>
  <si>
    <t>SD NEGERI 1 GINTUNG TENGAH</t>
  </si>
  <si>
    <t>20215061</t>
  </si>
  <si>
    <t>SD NEGERI 4 KASUGENGAN LOR</t>
  </si>
  <si>
    <t>20215209</t>
  </si>
  <si>
    <t>SD NEGERI 1 BOBOS</t>
  </si>
  <si>
    <t>20214475</t>
  </si>
  <si>
    <t>SD NEGERI 3 GEBANG KULON</t>
  </si>
  <si>
    <t>20270536</t>
  </si>
  <si>
    <t>SDN 2 Slendra</t>
  </si>
  <si>
    <t>20215572</t>
  </si>
  <si>
    <t>SD NEGERI 1 WALAHAR</t>
  </si>
  <si>
    <t>20215050</t>
  </si>
  <si>
    <t>SD NEGERI 1 KAMARANG</t>
  </si>
  <si>
    <t>20215177</t>
  </si>
  <si>
    <t>SD NEGERI 1 BUYUT</t>
  </si>
  <si>
    <t>20215530</t>
  </si>
  <si>
    <t>SD NEGERI 2 BAKUNGKIDUL</t>
  </si>
  <si>
    <t>20215070</t>
  </si>
  <si>
    <t>SD NEGERI 1 KALIWEDI KIDUL</t>
  </si>
  <si>
    <t>20215545</t>
  </si>
  <si>
    <t>SD NEGERI 2 BUNGKO</t>
  </si>
  <si>
    <t>20215391</t>
  </si>
  <si>
    <t>SD NEGERI 2 KARANGSEMBUNG</t>
  </si>
  <si>
    <t>20214659</t>
  </si>
  <si>
    <t>SD NEGERI 2 KUBANGDELEG</t>
  </si>
  <si>
    <t>20214665</t>
  </si>
  <si>
    <t>SD NEGERI 2 KERTAWINANGUN</t>
  </si>
  <si>
    <t>20215526</t>
  </si>
  <si>
    <t>SD NEGERI 2 BANGODUA</t>
  </si>
  <si>
    <t>20215164</t>
  </si>
  <si>
    <t>SD NEGERI 1 LEUWIDINGDING</t>
  </si>
  <si>
    <t>20215472</t>
  </si>
  <si>
    <t>SD NEGERI 1 TAWANGSARI</t>
  </si>
  <si>
    <t>20215457</t>
  </si>
  <si>
    <t>UPTD SD NEGERI 1 SUCI</t>
  </si>
  <si>
    <t>20214632</t>
  </si>
  <si>
    <t>SD NEGERI 2 PABEDILAN KALER</t>
  </si>
  <si>
    <t>20214628</t>
  </si>
  <si>
    <t>SD NEGERI 2 PABUARAN LOR</t>
  </si>
  <si>
    <t>20215503</t>
  </si>
  <si>
    <t>SD NEGERI 1 PANONGAN</t>
  </si>
  <si>
    <t>20215431</t>
  </si>
  <si>
    <t>SD NEGERI 2 JAPURA LOR</t>
  </si>
  <si>
    <t>20214542</t>
  </si>
  <si>
    <t>SD NEGERI 3 PANGURAGAN KULON</t>
  </si>
  <si>
    <t>20215579</t>
  </si>
  <si>
    <t>UPTD SD NEGERI 1 TONJONG</t>
  </si>
  <si>
    <t>20215001</t>
  </si>
  <si>
    <t>SD NEGERI 1 WOTGALI</t>
  </si>
  <si>
    <t>20244359</t>
  </si>
  <si>
    <t>SD NEGERI 1 KARANGASEM</t>
  </si>
  <si>
    <t>20215127</t>
  </si>
  <si>
    <t>SD NEGERI 1 PANAMBANGAN</t>
  </si>
  <si>
    <t>20214904</t>
  </si>
  <si>
    <t>SD NEGERI 5 SUMBER</t>
  </si>
  <si>
    <t>20214945</t>
  </si>
  <si>
    <t>SD NEGERI 3 SURANENGGALA KIDUL</t>
  </si>
  <si>
    <t>20214509</t>
  </si>
  <si>
    <t>SD NEGERI 2 WIYONG</t>
  </si>
  <si>
    <t>20215477</t>
  </si>
  <si>
    <t>SD NEGERI 1 SUSUKANTONGGOH</t>
  </si>
  <si>
    <t>20215288</t>
  </si>
  <si>
    <t>SD NEGERI 1 CIPERNA</t>
  </si>
  <si>
    <t>20215071</t>
  </si>
  <si>
    <t>SD NEGERI 1 KALITENGAH</t>
  </si>
  <si>
    <t>20244383</t>
  </si>
  <si>
    <t>SD NEGERI 1 WALEDKOTA</t>
  </si>
  <si>
    <t>20214752</t>
  </si>
  <si>
    <t>SD NEGERI 2 SETU KULON</t>
  </si>
  <si>
    <t>20214903</t>
  </si>
  <si>
    <t>SDN 6 ARJAWINANGUN</t>
  </si>
  <si>
    <t>20215047</t>
  </si>
  <si>
    <t>SD NEGERI 1 KANCIKULON</t>
  </si>
  <si>
    <t>20215065</t>
  </si>
  <si>
    <t>SD NEGERI 1 KARANGWANGUN</t>
  </si>
  <si>
    <t>20215232</t>
  </si>
  <si>
    <t>SD NEGERI 1 BEBER</t>
  </si>
  <si>
    <t>20215186</t>
  </si>
  <si>
    <t>SD NEGERI 1 BOJONG NEGARA</t>
  </si>
  <si>
    <t>20215547</t>
  </si>
  <si>
    <t>SD NEGERI 2 BRINGIN</t>
  </si>
  <si>
    <t>20215073</t>
  </si>
  <si>
    <t>SD NEGERI 1 KEJUDEN</t>
  </si>
  <si>
    <t>20215379</t>
  </si>
  <si>
    <t>SD NEGERI 2 CISAAT</t>
  </si>
  <si>
    <t>20215307</t>
  </si>
  <si>
    <t>SD NEGERI 1 DOMPYONG KULON</t>
  </si>
  <si>
    <t>20244356</t>
  </si>
  <si>
    <t>SD NEGERI 1 JAGAPURA KULON</t>
  </si>
  <si>
    <t>20214926</t>
  </si>
  <si>
    <t>SD NEGERI 1 CUPANG</t>
  </si>
  <si>
    <t>20214657</t>
  </si>
  <si>
    <t>SD NEGERI 2 LEBAK MEKAR</t>
  </si>
  <si>
    <t>20214729</t>
  </si>
  <si>
    <t>SD NEGERI 2 SAMBENG</t>
  </si>
  <si>
    <t>20215461</t>
  </si>
  <si>
    <t>SD NEGERI 1 SITIWINANGUN</t>
  </si>
  <si>
    <t>20215336</t>
  </si>
  <si>
    <t>SD NEGERI 2 GUWA LOR</t>
  </si>
  <si>
    <t>20215437</t>
  </si>
  <si>
    <t>SD NEGERI 2 KAPETAKAN</t>
  </si>
  <si>
    <t>20215396</t>
  </si>
  <si>
    <t>SD NEGERI 2 KARANGMEKAR</t>
  </si>
  <si>
    <t>20215229</t>
  </si>
  <si>
    <t>SD NEGERI 1 BLENDER</t>
  </si>
  <si>
    <t>20215576</t>
  </si>
  <si>
    <t>SD NEGERI 1 TUK</t>
  </si>
  <si>
    <t>20214469</t>
  </si>
  <si>
    <t>SD NEGERI 3 DANAWINANGUN</t>
  </si>
  <si>
    <t>20215517</t>
  </si>
  <si>
    <t>SD NEGERI 1 SARAJAYA</t>
  </si>
  <si>
    <t>20214689</t>
  </si>
  <si>
    <t>SD NEGERI 2 TAWANGSARI</t>
  </si>
  <si>
    <t>20215008</t>
  </si>
  <si>
    <t>SD NEGERI 1 SINARANCANG</t>
  </si>
  <si>
    <t>20244382</t>
  </si>
  <si>
    <t>UPTD D NEGERI 1 TERSANA</t>
  </si>
  <si>
    <t>20214548</t>
  </si>
  <si>
    <t>SD NEGERI 3 PABUARAN LOR</t>
  </si>
  <si>
    <t>20215501</t>
  </si>
  <si>
    <t>SD NEGERI 1 PEGAGAN</t>
  </si>
  <si>
    <t>20215228</t>
  </si>
  <si>
    <t>SD NEGERI 1 BERINGIN</t>
  </si>
  <si>
    <t>20215521</t>
  </si>
  <si>
    <t>UPTD SD NEGERI 1 PANGURAGAN WETAN</t>
  </si>
  <si>
    <t>20215200</t>
  </si>
  <si>
    <t>SD NEGERI 1 CIGOBANG</t>
  </si>
  <si>
    <t>20214727</t>
  </si>
  <si>
    <t>SD NEGERI 2 SARABAU</t>
  </si>
  <si>
    <t>20214622</t>
  </si>
  <si>
    <t>SD NEGERI 2 PAMIJAHAN</t>
  </si>
  <si>
    <t>20214575</t>
  </si>
  <si>
    <t>SD NEGERI 3 SEDONG LOR</t>
  </si>
  <si>
    <t>20214614</t>
  </si>
  <si>
    <t>SD NEGERI 3 KENANGA</t>
  </si>
  <si>
    <t>20215483</t>
  </si>
  <si>
    <t>SD NEGERI 1 SURANENGGALA KIDUL</t>
  </si>
  <si>
    <t>20215058</t>
  </si>
  <si>
    <t>SD NEGERI 1 KEDONGDONG</t>
  </si>
  <si>
    <t>20215478</t>
  </si>
  <si>
    <t>SD NEGERI 1 SUSUKAN LEBAK</t>
  </si>
  <si>
    <t>20215366</t>
  </si>
  <si>
    <t>SD NEGERI 2 CIPERNA</t>
  </si>
  <si>
    <t>69725666</t>
  </si>
  <si>
    <t>SD NEGERI 1 Kalibaru</t>
  </si>
  <si>
    <t>20214935</t>
  </si>
  <si>
    <t>SD NEGERI 3 WALEDKOTA</t>
  </si>
  <si>
    <t>20214940</t>
  </si>
  <si>
    <t>SD NEGERI 3 TEGALWANGI</t>
  </si>
  <si>
    <t>20215217</t>
  </si>
  <si>
    <t>SD NEGERI 1 ARJAWINANGUN</t>
  </si>
  <si>
    <t>20215432</t>
  </si>
  <si>
    <t>SD NEGERI 2 JAPURA KIDUL</t>
  </si>
  <si>
    <t>20215210</t>
  </si>
  <si>
    <t>SD NEGERI 1 BABAKANGEBANG</t>
  </si>
  <si>
    <t>20215197</t>
  </si>
  <si>
    <t>SD NEGERI 1 CIKANCAS</t>
  </si>
  <si>
    <t>20215312</t>
  </si>
  <si>
    <t>SD NEGERI 1 CILEDUG LOR</t>
  </si>
  <si>
    <t>20215211</t>
  </si>
  <si>
    <t>SD NEGERI 1 BABAKAN</t>
  </si>
  <si>
    <t>20214518</t>
  </si>
  <si>
    <t>SD NEGERI 2 WARUJAYA</t>
  </si>
  <si>
    <t>20215344</t>
  </si>
  <si>
    <t>SD NEGERI 2 GIRINATA</t>
  </si>
  <si>
    <t>20215259</t>
  </si>
  <si>
    <t>SD NEGERI 1 GEBANGUDIK</t>
  </si>
  <si>
    <t>20215265</t>
  </si>
  <si>
    <t>SD NEGERI 1 JAGAPURA LOR</t>
  </si>
  <si>
    <t>20214710</t>
  </si>
  <si>
    <t>SD NEGERI 2 WALAHAR</t>
  </si>
  <si>
    <t>20215121</t>
  </si>
  <si>
    <t>SD NEGERI 1 NANGGELA</t>
  </si>
  <si>
    <t>20215487</t>
  </si>
  <si>
    <t>SD NEGERI 1 SIRNABAYA</t>
  </si>
  <si>
    <t>20214557</t>
  </si>
  <si>
    <t>SD NEGERI 3 SITIWINANGUN</t>
  </si>
  <si>
    <t>20215419</t>
  </si>
  <si>
    <t>SD NEGERI 2 KALIDERES</t>
  </si>
  <si>
    <t>20215179</t>
  </si>
  <si>
    <t>SD NEGERI 1 BUNGKO LOR</t>
  </si>
  <si>
    <t>20215099</t>
  </si>
  <si>
    <t>SD NEGERI 1 KALIMEANG</t>
  </si>
  <si>
    <t>20244391</t>
  </si>
  <si>
    <t>SD NEGERI 2 BLENDER</t>
  </si>
  <si>
    <t>20214693</t>
  </si>
  <si>
    <t>SD NEGERI 2 SUTAWINANGUN</t>
  </si>
  <si>
    <t>20214574</t>
  </si>
  <si>
    <t>SD NEGERI 3 SERANG</t>
  </si>
  <si>
    <t>20215216</t>
  </si>
  <si>
    <t>SD NEGERI 1 ASEM</t>
  </si>
  <si>
    <t>20215446</t>
  </si>
  <si>
    <t>SD NEGERI 2 KALISARI</t>
  </si>
  <si>
    <t>20215238</t>
  </si>
  <si>
    <t>SD NEGERI 1 BANJARWANGUNAN</t>
  </si>
  <si>
    <t>20244512</t>
  </si>
  <si>
    <t>SD NEGERI 3 PASURUAN</t>
  </si>
  <si>
    <t>20215080</t>
  </si>
  <si>
    <t>SD NEGERI 1 JATIRENGGANG</t>
  </si>
  <si>
    <t>20215205</t>
  </si>
  <si>
    <t>SD NEGERI 1 CIAWI</t>
  </si>
  <si>
    <t>20214730</t>
  </si>
  <si>
    <t>SD NEGERI 2 RAWAURIP</t>
  </si>
  <si>
    <t>20244369</t>
  </si>
  <si>
    <t>UPTD SD NEGERI 1 PANGURAGAN</t>
  </si>
  <si>
    <t>20215502</t>
  </si>
  <si>
    <t>SD NEGERI 1 PASALEMAN</t>
  </si>
  <si>
    <t>20215126</t>
  </si>
  <si>
    <t>SD NEGERI 1 PANEMBAHAN</t>
  </si>
  <si>
    <t>20215372</t>
  </si>
  <si>
    <t>SD NEGERI 2 DANAMULYA</t>
  </si>
  <si>
    <t>20215064</t>
  </si>
  <si>
    <t>UPTD SD NEGERI 1 KARANG WUNI</t>
  </si>
  <si>
    <t>20214617</t>
  </si>
  <si>
    <t>SD NEGERI 2 PERBUTULAN</t>
  </si>
  <si>
    <t>20215482</t>
  </si>
  <si>
    <t>SD NEGERI 1 SURANENGGALA KULON</t>
  </si>
  <si>
    <t>20215181</t>
  </si>
  <si>
    <t>SD NEGERI 1 BUNDER</t>
  </si>
  <si>
    <t>20215296</t>
  </si>
  <si>
    <t>SD NEGERI 1 CURUGWETAN</t>
  </si>
  <si>
    <t>20215207</t>
  </si>
  <si>
    <t>SD NEGERI 1 CEMPAKA</t>
  </si>
  <si>
    <t>20215250</t>
  </si>
  <si>
    <t>SD NEGERI 1 GESIK</t>
  </si>
  <si>
    <t>20215110</t>
  </si>
  <si>
    <t>SD NEGERI 1 MEKARSARI</t>
  </si>
  <si>
    <t>20214677</t>
  </si>
  <si>
    <t>SD NEGERI 2 MEGU CILIK</t>
  </si>
  <si>
    <t>20214489</t>
  </si>
  <si>
    <t>SD NEGERI 3 JUNGJANG</t>
  </si>
  <si>
    <t>20215108</t>
  </si>
  <si>
    <t>SD NEGERI 1 MERTAPADA WETAN</t>
  </si>
  <si>
    <t>20215254</t>
  </si>
  <si>
    <t>SD NEGERI 1 GEMBONGANMEKAR</t>
  </si>
  <si>
    <t>20215285</t>
  </si>
  <si>
    <t>SD NEGERI 1 CIPINANG</t>
  </si>
  <si>
    <t>20215580</t>
  </si>
  <si>
    <t>SD NEGERI 1 TENJOMAYA</t>
  </si>
  <si>
    <t>20215247</t>
  </si>
  <si>
    <t>SD NEGERI 1 GINTUNG KIDUL</t>
  </si>
  <si>
    <t>20215407</t>
  </si>
  <si>
    <t>SD NEGERI 2 KEJUDEN</t>
  </si>
  <si>
    <t>20215289</t>
  </si>
  <si>
    <t>SD NEGERI 1 CIPANAS</t>
  </si>
  <si>
    <t>20215279</t>
  </si>
  <si>
    <t>SD NEGERI 1 GEBANGILIR</t>
  </si>
  <si>
    <t>20244370</t>
  </si>
  <si>
    <t>SD NEGERI 1 PANUNGGUL</t>
  </si>
  <si>
    <t>20215130</t>
  </si>
  <si>
    <t>SD NEGERI 1 PALIMANAN BARAT</t>
  </si>
  <si>
    <t>20215465</t>
  </si>
  <si>
    <t>SD NEGERI 1 SINDANGKEMPENG</t>
  </si>
  <si>
    <t>20215215</t>
  </si>
  <si>
    <t>SD NEGERI 1 ASTANA</t>
  </si>
  <si>
    <t>20244357</t>
  </si>
  <si>
    <t>SD NEGERI 1 JAMBLANG</t>
  </si>
  <si>
    <t>20215573</t>
  </si>
  <si>
    <t>SD NEGERI 1 UJUNGSEMI</t>
  </si>
  <si>
    <t>20214609</t>
  </si>
  <si>
    <t>SD NEGERI 3 KERTASURA</t>
  </si>
  <si>
    <t>20214592</t>
  </si>
  <si>
    <t>SD NEGERI 3 KARANGSEMBUNG</t>
  </si>
  <si>
    <t>20214749</t>
  </si>
  <si>
    <t>SD NEGERI 2 SEUSEUPAN</t>
  </si>
  <si>
    <t>20214919</t>
  </si>
  <si>
    <t>SD NEGERI 1 KEDAWUNG</t>
  </si>
  <si>
    <t>20215498</t>
  </si>
  <si>
    <t>SD NEGERI 1 PEKANTINGAN</t>
  </si>
  <si>
    <t>20215584</t>
  </si>
  <si>
    <t>SD NEGERI 1 WANGKELANG</t>
  </si>
  <si>
    <t>20215218</t>
  </si>
  <si>
    <t>SD NEGERI 1 AMBULU</t>
  </si>
  <si>
    <t>20214750</t>
  </si>
  <si>
    <t>SD NEGERI 2 SETUPATOK</t>
  </si>
  <si>
    <t>20215138</t>
  </si>
  <si>
    <t>SD NEGERI 1 PABEDILANKALER</t>
  </si>
  <si>
    <t>20215426</t>
  </si>
  <si>
    <t>SD NEGERI 2 JATIRENGGANG</t>
  </si>
  <si>
    <t>20215231</t>
  </si>
  <si>
    <t>SD NEGERI 1 BEBERAN</t>
  </si>
  <si>
    <t>20215013</t>
  </si>
  <si>
    <t>SD NEGERI 1 PANGARENGAN</t>
  </si>
  <si>
    <t>20214634</t>
  </si>
  <si>
    <t>SD NEGERI 2 PANGURAGAN LOR</t>
  </si>
  <si>
    <t>20214645</t>
  </si>
  <si>
    <t>SD NEGERI 2 PASALEMAN</t>
  </si>
  <si>
    <t>20215581</t>
  </si>
  <si>
    <t>SD NEGERI 1 TEGALSARI</t>
  </si>
  <si>
    <t>20214735</t>
  </si>
  <si>
    <t>SD NEGERI 2 PLUMBON</t>
  </si>
  <si>
    <t>20214731</t>
  </si>
  <si>
    <t>SD NEGERI 2 PUTAT</t>
  </si>
  <si>
    <t>20214638</t>
  </si>
  <si>
    <t>SD NEGERI 2 PEJAMBON</t>
  </si>
  <si>
    <t>20215485</t>
  </si>
  <si>
    <t>SD NEGERI 1 SURAKARTA</t>
  </si>
  <si>
    <t>20214944</t>
  </si>
  <si>
    <t>SD NEGERI 3 SUSUKAN</t>
  </si>
  <si>
    <t>20215202</t>
  </si>
  <si>
    <t>SD NEGERI 1 CIAWIJAPURA</t>
  </si>
  <si>
    <t>20215059</t>
  </si>
  <si>
    <t>SD NEGERI 1 KECOMBERAN</t>
  </si>
  <si>
    <t>20215314</t>
  </si>
  <si>
    <t>SD NEGERI 2 GESIK</t>
  </si>
  <si>
    <t>20215570</t>
  </si>
  <si>
    <t>SD NEGERI 1 WALEDDESA</t>
  </si>
  <si>
    <t>20215592</t>
  </si>
  <si>
    <t>UPTD SD NEGERI 1 WERU KIDUL</t>
  </si>
  <si>
    <t>20215505</t>
  </si>
  <si>
    <t>SD NEGERI 1 RAWAGATEL</t>
  </si>
  <si>
    <t>20215214</t>
  </si>
  <si>
    <t>SD NEGERI 1 ASTANAJAPURA</t>
  </si>
  <si>
    <t>20215253</t>
  </si>
  <si>
    <t>SD NEGERI 1 GEMBONGAN</t>
  </si>
  <si>
    <t>20244396</t>
  </si>
  <si>
    <t>SD NEGERI 2 CIAWIGAJAH</t>
  </si>
  <si>
    <t>20215549</t>
  </si>
  <si>
    <t>SD NEGERI 2 BOJONGNEGARA</t>
  </si>
  <si>
    <t>20215299</t>
  </si>
  <si>
    <t>SD NEGERI 1 GALAGAMBA</t>
  </si>
  <si>
    <t>20215599</t>
  </si>
  <si>
    <t>SD NEGERI 1 WARUKAWUNG</t>
  </si>
  <si>
    <t>20215541</t>
  </si>
  <si>
    <t>SD NEGERI 2 CANGKOAK</t>
  </si>
  <si>
    <t>20215324</t>
  </si>
  <si>
    <t>SD NEGERI 2 GEBANGILIR</t>
  </si>
  <si>
    <t>20215413</t>
  </si>
  <si>
    <t>SD NEGERI 2 KEDUNGDALEM</t>
  </si>
  <si>
    <t>20215173</t>
  </si>
  <si>
    <t>SD NEGERI 1 KEDUNGBUNDER</t>
  </si>
  <si>
    <t>20215338</t>
  </si>
  <si>
    <t>SD NEGERI 2 GUMULUNG TONGGOH</t>
  </si>
  <si>
    <t>20214558</t>
  </si>
  <si>
    <t>SD NEGERI 3 SIRNABAYA</t>
  </si>
  <si>
    <t>20215122</t>
  </si>
  <si>
    <t>SD NEGERI 1 ORIMALANG</t>
  </si>
  <si>
    <t>20215102</t>
  </si>
  <si>
    <t>SD NEGERI 1 KALIDERES</t>
  </si>
  <si>
    <t>20214667</t>
  </si>
  <si>
    <t>SD NEGERI 2 KERTASURA</t>
  </si>
  <si>
    <t>20215045</t>
  </si>
  <si>
    <t>SD NEGERI 1 KARANGMEKAR</t>
  </si>
  <si>
    <t>20215508</t>
  </si>
  <si>
    <t>SD NEGERI 1 SEUSEUPAN</t>
  </si>
  <si>
    <t>20215476</t>
  </si>
  <si>
    <t>SD NEGERI 1 SUTAWINANGUN</t>
  </si>
  <si>
    <t>20214637</t>
  </si>
  <si>
    <t>SD NEGERI 2 PEKANTINGAN</t>
  </si>
  <si>
    <t>20215464</t>
  </si>
  <si>
    <t>UPTD SD NEGERI 1 SINDANGLAUT</t>
  </si>
  <si>
    <t>20214668</t>
  </si>
  <si>
    <t>SD NEGERI 2 LOSARI LOR</t>
  </si>
  <si>
    <t>20215497</t>
  </si>
  <si>
    <t>SD NEGERI 1 PENPEN</t>
  </si>
  <si>
    <t>20244372</t>
  </si>
  <si>
    <t>SD NEGERI 1 PASURUAN</t>
  </si>
  <si>
    <t>20215266</t>
  </si>
  <si>
    <t>SD NEGERI 1 HULUBANTENG</t>
  </si>
  <si>
    <t>20214624</t>
  </si>
  <si>
    <t>SD NEGERI 2 PALIMANAN TIMUR</t>
  </si>
  <si>
    <t>20214899</t>
  </si>
  <si>
    <t>SD NEGERI 1 ASTANAMUKTI</t>
  </si>
  <si>
    <t>20215104</t>
  </si>
  <si>
    <t>SD NEGERI 1 PANGURAGAN LOR</t>
  </si>
  <si>
    <t>20215473</t>
  </si>
  <si>
    <t>SD NEGERI 1 TANJUNG ANOM</t>
  </si>
  <si>
    <t>20244377</t>
  </si>
  <si>
    <t>SD NEGERI 1 SARABAU</t>
  </si>
  <si>
    <t>20214733</t>
  </si>
  <si>
    <t>SD NEGERI 2 PURBAWINANGUN</t>
  </si>
  <si>
    <t>20215512</t>
  </si>
  <si>
    <t>UPTD SD NEGERI 1 SEDONG LOR</t>
  </si>
  <si>
    <t>20214713</t>
  </si>
  <si>
    <t>SD NEGERI 2 TUKMUDAL</t>
  </si>
  <si>
    <t>20214963</t>
  </si>
  <si>
    <t>SD NEGERI 3 SURAKARTA</t>
  </si>
  <si>
    <t>20215246</t>
  </si>
  <si>
    <t>SD NEGERI 1 GINTUNGLOR</t>
  </si>
  <si>
    <t>20214522</t>
  </si>
  <si>
    <t>SD NEGERI 3 CIAWIASIH</t>
  </si>
  <si>
    <t>20215400</t>
  </si>
  <si>
    <t>SD NEGERI 2 KECOMBERAN</t>
  </si>
  <si>
    <t>20214898</t>
  </si>
  <si>
    <t>SD NEGERI 1 ASTAPADA</t>
  </si>
  <si>
    <t>20215052</t>
  </si>
  <si>
    <t>SD NEGERI 1 KARANGSARI</t>
  </si>
  <si>
    <t>20244360</t>
  </si>
  <si>
    <t>UPTD SD NEGERI 1 KARANGSARI</t>
  </si>
  <si>
    <t>20215037</t>
  </si>
  <si>
    <t>SD NEGERI 1 KARANGSAMBUNG</t>
  </si>
  <si>
    <t>20214675</t>
  </si>
  <si>
    <t>SD NEGERI 2 MERTAPADA KULON</t>
  </si>
  <si>
    <t>20214523</t>
  </si>
  <si>
    <t>SD NEGERI 3 CANGKUANG</t>
  </si>
  <si>
    <t>20215360</t>
  </si>
  <si>
    <t>SD NEGERI 2 CIKANCAS</t>
  </si>
  <si>
    <t>20244363</t>
  </si>
  <si>
    <t>UPTD SD NEGERI 1 LEUWEUNGGAJAH</t>
  </si>
  <si>
    <t>20215183</t>
  </si>
  <si>
    <t>SD NEGERI 1 BUDUR</t>
  </si>
  <si>
    <t>20214586</t>
  </si>
  <si>
    <t>SD NEGERI 3 KASUGENGAN KIDUL</t>
  </si>
  <si>
    <t>20215563</t>
  </si>
  <si>
    <t>SD NEGERI 2 BOBOS</t>
  </si>
  <si>
    <t>20215321</t>
  </si>
  <si>
    <t>SD NEGERI 2 GEBANG UDIK</t>
  </si>
  <si>
    <t>20214501</t>
  </si>
  <si>
    <t>SD NEGERI 3 GEGESIK KULON</t>
  </si>
  <si>
    <t>20215412</t>
  </si>
  <si>
    <t>SD NEGERI 2 KEDUNGBUNDER</t>
  </si>
  <si>
    <t>20215348</t>
  </si>
  <si>
    <t>SD NEGERI 2 DURAJAYA</t>
  </si>
  <si>
    <t>20215542</t>
  </si>
  <si>
    <t>SD NEGERI 2 BUYUT</t>
  </si>
  <si>
    <t>20215242</t>
  </si>
  <si>
    <t>SD NEGERI 1 BAKUNGLOR</t>
  </si>
  <si>
    <t>20244509</t>
  </si>
  <si>
    <t>SD NEGERI 2 UJUNGSEMI</t>
  </si>
  <si>
    <t>20215544</t>
  </si>
  <si>
    <t>SD NEGERI 2 BUNGKO LOR</t>
  </si>
  <si>
    <t>20215043</t>
  </si>
  <si>
    <t>SD NEGERI 1 KARANGSUWUNG</t>
  </si>
  <si>
    <t>20215041</t>
  </si>
  <si>
    <t>UPTD SD NEGERI 1 KARANGASEM</t>
  </si>
  <si>
    <t>20214736</t>
  </si>
  <si>
    <t>SD NEGERI 2 PILANGSARI</t>
  </si>
  <si>
    <t>20215170</t>
  </si>
  <si>
    <t>SD NEGERI 1 KREYO</t>
  </si>
  <si>
    <t>20215162</t>
  </si>
  <si>
    <t>SD NEGERI 1 LEMAHABANG</t>
  </si>
  <si>
    <t>20215125</t>
  </si>
  <si>
    <t>SD NEGERI 1 PANGGANGSARI</t>
  </si>
  <si>
    <t>20214635</t>
  </si>
  <si>
    <t>SD NEGERI 2 PENPEN</t>
  </si>
  <si>
    <t>20215136</t>
  </si>
  <si>
    <t>UPTD SD NEGERI 1 PABEDILAN KULON</t>
  </si>
  <si>
    <t>20215334</t>
  </si>
  <si>
    <t>SD NEGERI 2 HULUBANTENG</t>
  </si>
  <si>
    <t>20215364</t>
  </si>
  <si>
    <t>SD NEGERI 2 CIAWI</t>
  </si>
  <si>
    <t>20215249</t>
  </si>
  <si>
    <t>SD NEGERI 1 GETRAKMOYAN</t>
  </si>
  <si>
    <t>20214654</t>
  </si>
  <si>
    <t>SD NEGERI 2 LEMAHTAMBA</t>
  </si>
  <si>
    <t>20214690</t>
  </si>
  <si>
    <t>SD NEGERI 2 TANJUNGANOM</t>
  </si>
  <si>
    <t>20215191</t>
  </si>
  <si>
    <t>SD NEGERI 1 CANGKRING</t>
  </si>
  <si>
    <t>20244375</t>
  </si>
  <si>
    <t>SD NEGERI 1 PURBAWINANGUN</t>
  </si>
  <si>
    <t>20214511</t>
  </si>
  <si>
    <t>SD NEGERI 2 WINDUJAYA</t>
  </si>
  <si>
    <t>20214571</t>
  </si>
  <si>
    <t>SD NEGERI 3 SIDAWANGI</t>
  </si>
  <si>
    <t>20215143</t>
  </si>
  <si>
    <t>SD NEGERI 1 KERATON</t>
  </si>
  <si>
    <t>20215408</t>
  </si>
  <si>
    <t>SD NEGERI 2 KEJIWAN</t>
  </si>
  <si>
    <t>20215418</t>
  </si>
  <si>
    <t>SD NEGERI 2 KALIGAWE</t>
  </si>
  <si>
    <t>20215401</t>
  </si>
  <si>
    <t>SD NEGERI 2 KEPONGPONGAN</t>
  </si>
  <si>
    <t>20215525</t>
  </si>
  <si>
    <t>SD NEGERI 2 BATEMBAT</t>
  </si>
  <si>
    <t>20215281</t>
  </si>
  <si>
    <t>SD NEGERI 1 CIUYAH</t>
  </si>
  <si>
    <t>20214907</t>
  </si>
  <si>
    <t>SD NEGERI 2 TEGALWANGI</t>
  </si>
  <si>
    <t>20215511</t>
  </si>
  <si>
    <t>SD NEGERI 1 SENDE</t>
  </si>
  <si>
    <t>20215438</t>
  </si>
  <si>
    <t>SD NEGERI 2 KANCIKULON</t>
  </si>
  <si>
    <t>20215189</t>
  </si>
  <si>
    <t>SD NEGERI 1 BOJONGGEBANG</t>
  </si>
  <si>
    <t>20215538</t>
  </si>
  <si>
    <t>SD NEGERI 2 BEBER</t>
  </si>
  <si>
    <t>20214483</t>
  </si>
  <si>
    <t>SD NEGERI 3 CILEDUG LOR</t>
  </si>
  <si>
    <t>20215327</t>
  </si>
  <si>
    <t>SD NEGERI 2 GALAGAMBA</t>
  </si>
  <si>
    <t>20214585</t>
  </si>
  <si>
    <t>SD NEGERI 3 KASUGENGAN LOR</t>
  </si>
  <si>
    <t>20214744</t>
  </si>
  <si>
    <t>SD NEGERI 2 SINDANGJAWA</t>
  </si>
  <si>
    <t>20215306</t>
  </si>
  <si>
    <t>UPTD SD NEGERI 1 DOMPYONG WETAN</t>
  </si>
  <si>
    <t>20215313</t>
  </si>
  <si>
    <t>SD NEGERI 2 JAGAPURA LOR</t>
  </si>
  <si>
    <t>20214583</t>
  </si>
  <si>
    <t>SD NEGERI 3 KEDUNGBUNDER</t>
  </si>
  <si>
    <t>20215339</t>
  </si>
  <si>
    <t>SD NEGERI 2 GUMULUNGLEBAK</t>
  </si>
  <si>
    <t>20214605</t>
  </si>
  <si>
    <t>SD NEGERI 3 KLAYAN</t>
  </si>
  <si>
    <t>20215594</t>
  </si>
  <si>
    <t>SD NEGERI 1 WANGUNHARJA</t>
  </si>
  <si>
    <t>20215490</t>
  </si>
  <si>
    <t>SD NEGERI 1 PRAJAWINANGUN KULON</t>
  </si>
  <si>
    <t>20215305</t>
  </si>
  <si>
    <t>SD NEGERI 1 DUKUH</t>
  </si>
  <si>
    <t>20215389</t>
  </si>
  <si>
    <t>SD NEGERI 2 KARANGTENGAH</t>
  </si>
  <si>
    <t>20215042</t>
  </si>
  <si>
    <t>SD NEGERI 1 KARANGANYAR</t>
  </si>
  <si>
    <t>20215411</t>
  </si>
  <si>
    <t>SD NEGERI 2 KEDUNGDAWA</t>
  </si>
  <si>
    <t>20214664</t>
  </si>
  <si>
    <t>SD NEGERI 2 KLANGENAN</t>
  </si>
  <si>
    <t>20214726</t>
  </si>
  <si>
    <t>SD NEGERI 2 SARAJAYA</t>
  </si>
  <si>
    <t>20214914</t>
  </si>
  <si>
    <t>SD NEGERI MULYASARI</t>
  </si>
  <si>
    <t>20214684</t>
  </si>
  <si>
    <t>SD NEGERI 2 LUWUNG</t>
  </si>
  <si>
    <t>20215367</t>
  </si>
  <si>
    <t>SD NEGERI 1 DUKUHWIDARA</t>
  </si>
  <si>
    <t>20244354</t>
  </si>
  <si>
    <t>UPTD SD NEGERI 1 HULUBANTENG LOR</t>
  </si>
  <si>
    <t>20214538</t>
  </si>
  <si>
    <t>SD NEGERI 3 PEGAGAN</t>
  </si>
  <si>
    <t>20244390</t>
  </si>
  <si>
    <t>SD NEGERI 2 BERINGIN</t>
  </si>
  <si>
    <t>20215086</t>
  </si>
  <si>
    <t>SD NEGERI 1 KALIANYAR</t>
  </si>
  <si>
    <t>20214938</t>
  </si>
  <si>
    <t>SD NEGERI 3 TONJONG</t>
  </si>
  <si>
    <t>20214704</t>
  </si>
  <si>
    <t>SD NEGERI 2 TEGALSARI</t>
  </si>
  <si>
    <t>20244349</t>
  </si>
  <si>
    <t>SD NEGERI 1 Cempaka</t>
  </si>
  <si>
    <t>20215515</t>
  </si>
  <si>
    <t>UPTD SD NEGERI 1 SEDONG KIDUL</t>
  </si>
  <si>
    <t>20215088</t>
  </si>
  <si>
    <t>SD NEGERI 1 KALIWADAS</t>
  </si>
  <si>
    <t>20215489</t>
  </si>
  <si>
    <t>SD NEGERI 1 PURWAWINANGUN</t>
  </si>
  <si>
    <t>20215103</t>
  </si>
  <si>
    <t>SD NEGERI 1 JATIANOM</t>
  </si>
  <si>
    <t>20215588</t>
  </si>
  <si>
    <t>SD NEGERI 1 WILULANG</t>
  </si>
  <si>
    <t>20214613</t>
  </si>
  <si>
    <t>SD NEGERI 3 KEPONGPONGAN</t>
  </si>
  <si>
    <t>20215034</t>
  </si>
  <si>
    <t>SD NEGERI 1 PALIR</t>
  </si>
  <si>
    <t>20215376</t>
  </si>
  <si>
    <t>SD NEGERI 2 CIUYAH</t>
  </si>
  <si>
    <t>20244379</t>
  </si>
  <si>
    <t>SD NEGERI 1 SETU WETAN</t>
  </si>
  <si>
    <t>20214506</t>
  </si>
  <si>
    <t>SD NEGERI 3 ARJAWINANGUN</t>
  </si>
  <si>
    <t>20214493</t>
  </si>
  <si>
    <t>SD NEGERI 3 JAPURA KIDUL</t>
  </si>
  <si>
    <t>20215561</t>
  </si>
  <si>
    <t>SD NEGERI 2 BOJONGGEBANG</t>
  </si>
  <si>
    <t>20215203</t>
  </si>
  <si>
    <t>SD NEGERI 1 CIAWIGAJAH</t>
  </si>
  <si>
    <t>20215079</t>
  </si>
  <si>
    <t>SD NEGERI 1 JATISEENG</t>
  </si>
  <si>
    <t>20215375</t>
  </si>
  <si>
    <t>SD NEGERI 2 CIWARINGIN</t>
  </si>
  <si>
    <t>20215057</t>
  </si>
  <si>
    <t>SD NEGERI 1 KEDUANAN</t>
  </si>
  <si>
    <t>20215198</t>
  </si>
  <si>
    <t>SD NEGERI 1 CIKALAHANG</t>
  </si>
  <si>
    <t>20215300</t>
  </si>
  <si>
    <t>SD NEGERI 1 GAGASARI</t>
  </si>
  <si>
    <t>20215458</t>
  </si>
  <si>
    <t>SD NEGERI 1 SIBUBUT</t>
  </si>
  <si>
    <t>20215358</t>
  </si>
  <si>
    <t>SD NEGERI 2 CIKEUSAL</t>
  </si>
  <si>
    <t>20215275</t>
  </si>
  <si>
    <t>SD NEGERI 1 GREGED</t>
  </si>
  <si>
    <t>20214525</t>
  </si>
  <si>
    <t>SD NEGERI 3 BUYUT</t>
  </si>
  <si>
    <t>20214721</t>
  </si>
  <si>
    <t>SD NEGERI 2 SITIWINANGUN</t>
  </si>
  <si>
    <t>20244374</t>
  </si>
  <si>
    <t>SD NEGERI 1 PRAJAWINANGUN WETAN</t>
  </si>
  <si>
    <t>20244342</t>
  </si>
  <si>
    <t>SD NEGERI 1 GROGOL</t>
  </si>
  <si>
    <t>20214593</t>
  </si>
  <si>
    <t>SD NEGERI 3 KARANGMEKAR</t>
  </si>
  <si>
    <t>20215168</t>
  </si>
  <si>
    <t>SD NEGERI 1 KUBANGDELEG</t>
  </si>
  <si>
    <t>20214607</t>
  </si>
  <si>
    <t>SD NEGERI 3 KERTAWINANGUN</t>
  </si>
  <si>
    <t>20215309</t>
  </si>
  <si>
    <t>SD NEGERI 1 DANAWINANGUN</t>
  </si>
  <si>
    <t>20215381</t>
  </si>
  <si>
    <t>SD NEGERI 2 CIPEUJEUH KULON</t>
  </si>
  <si>
    <t>20215213</t>
  </si>
  <si>
    <t>SD NEGERI 1 ASTANALANGGAR</t>
  </si>
  <si>
    <t>20215002</t>
  </si>
  <si>
    <t>SD NEGERI 1 WARUDUWUR</t>
  </si>
  <si>
    <t>20214472</t>
  </si>
  <si>
    <t>SD NEGERI 2 DUKUHWIDARA</t>
  </si>
  <si>
    <t>20215455</t>
  </si>
  <si>
    <t>SD NEGERI 1 SUKADANA</t>
  </si>
  <si>
    <t>20214611</t>
  </si>
  <si>
    <t>SD NEGERI 3 KEPUH</t>
  </si>
  <si>
    <t>20215015</t>
  </si>
  <si>
    <t>SD NEGERI 1 PANGENAN</t>
  </si>
  <si>
    <t>20215420</t>
  </si>
  <si>
    <t>SD NEGERI 2 KALIANYAR</t>
  </si>
  <si>
    <t>20246448</t>
  </si>
  <si>
    <t>SD NEGERI 2 CIGOBANG</t>
  </si>
  <si>
    <t>20214619</t>
  </si>
  <si>
    <t>SD NEGERI 2 PANGKALAN</t>
  </si>
  <si>
    <t>20214685</t>
  </si>
  <si>
    <t>SD NEGERI 2 LURAH</t>
  </si>
  <si>
    <t>20246439</t>
  </si>
  <si>
    <t>SD NEGERI 1 PANONGANLOR</t>
  </si>
  <si>
    <t>20215405</t>
  </si>
  <si>
    <t>SD NEGERI 2 KEMANTREN</t>
  </si>
  <si>
    <t>20214697</t>
  </si>
  <si>
    <t>SD NEGERI 2 SURANENGGALA KULON</t>
  </si>
  <si>
    <t>20215117</t>
  </si>
  <si>
    <t>SD NEGERI 1 LUWUNGKENCANA</t>
  </si>
  <si>
    <t>20215479</t>
  </si>
  <si>
    <t>SD NEGERI 1 SUSUKANAGUNG</t>
  </si>
  <si>
    <t>20215144</t>
  </si>
  <si>
    <t>SD NEGERI 1 KERANDON</t>
  </si>
  <si>
    <t>20215308</t>
  </si>
  <si>
    <t>SD NEGERI 1 DAWUAN</t>
  </si>
  <si>
    <t>20215585</t>
  </si>
  <si>
    <t>SD NEGERI 2 AMBIT</t>
  </si>
  <si>
    <t>20215591</t>
  </si>
  <si>
    <t>UPTD SD NEGERI 1 WERU LOR</t>
  </si>
  <si>
    <t>20214688</t>
  </si>
  <si>
    <t>SD NEGERI 2 TEGALGUBUG</t>
  </si>
  <si>
    <t>20215245</t>
  </si>
  <si>
    <t>SD NEGERI 1 JAPURABAKTI</t>
  </si>
  <si>
    <t>20215009</t>
  </si>
  <si>
    <t>SD NEGERI 1 SERANGWETAN</t>
  </si>
  <si>
    <t>20246441</t>
  </si>
  <si>
    <t>SD NEGERI 1 PATAPAN</t>
  </si>
  <si>
    <t>20215293</t>
  </si>
  <si>
    <t>SD NEGERI 1 CILEDUG WETAN</t>
  </si>
  <si>
    <t>20215184</t>
  </si>
  <si>
    <t>SD NEGERI 1 BRINGIN</t>
  </si>
  <si>
    <t>20214924</t>
  </si>
  <si>
    <t>SD NEGERI 1 GETASAN</t>
  </si>
  <si>
    <t>20214682</t>
  </si>
  <si>
    <t>SD NEGERI 2 MANDALA</t>
  </si>
  <si>
    <t>20215093</t>
  </si>
  <si>
    <t>SD NEGERI 1 KALIPASUNG</t>
  </si>
  <si>
    <t>20215320</t>
  </si>
  <si>
    <t>SD NEGERI 2 GEGESIK KIDUL</t>
  </si>
  <si>
    <t>20215195</t>
  </si>
  <si>
    <t>SD NEGERI 1 CIKEUSAL</t>
  </si>
  <si>
    <t>20215049</t>
  </si>
  <si>
    <t>SD NEGERI 1 KAMARANG LEBAK</t>
  </si>
  <si>
    <t>20215274</t>
  </si>
  <si>
    <t>20215548</t>
  </si>
  <si>
    <t>SD NEGERI 2 BOJONG WETAN</t>
  </si>
  <si>
    <t>20215595</t>
  </si>
  <si>
    <t>SD NEGERI 1 WARGABINANGUN</t>
  </si>
  <si>
    <t>20244344</t>
  </si>
  <si>
    <t>SD NEGERI 1 PEGAGAN KIDUL</t>
  </si>
  <si>
    <t>20215450</t>
  </si>
  <si>
    <t>SD NEGERI 2 KALIMEANG</t>
  </si>
  <si>
    <t>20215082</t>
  </si>
  <si>
    <t>SD NEGERI 1 JATIPIRING</t>
  </si>
  <si>
    <t>20244362</t>
  </si>
  <si>
    <t>SD NEGERI 1 KERTAWINANGUN</t>
  </si>
  <si>
    <t>20215460</t>
  </si>
  <si>
    <t>SD NEGERI 1 SLANGIT</t>
  </si>
  <si>
    <t>20214479</t>
  </si>
  <si>
    <t>SD NEGERI 3 CIPEUJEUH WETAN</t>
  </si>
  <si>
    <t>20214505</t>
  </si>
  <si>
    <t>SD NEGERI 3 ASTANALANGGAR</t>
  </si>
  <si>
    <t>20214897</t>
  </si>
  <si>
    <t>SD NEGERI 1 BANDENGAN</t>
  </si>
  <si>
    <t>20215137</t>
  </si>
  <si>
    <t>SD NEGERI 1 PABEDILANKIDUL</t>
  </si>
  <si>
    <t>20215132</t>
  </si>
  <si>
    <t>UPTD SD NEGERI 1 PABUARAN WETAN</t>
  </si>
  <si>
    <t>20214669</t>
  </si>
  <si>
    <t>SD NEGERI 2 LUNGBENDA</t>
  </si>
  <si>
    <t>20215301</t>
  </si>
  <si>
    <t>SD NEGERI 1 ENDER</t>
  </si>
  <si>
    <t>20214541</t>
  </si>
  <si>
    <t>SD NEGERI 3 PANGURAGAN WETAN</t>
  </si>
  <si>
    <t>20215291</t>
  </si>
  <si>
    <t>SD NEGERI 1 CILENGKRANGGIRANG</t>
  </si>
  <si>
    <t>20244368</t>
  </si>
  <si>
    <t>SD NEGERI 1 PANGKALAN</t>
  </si>
  <si>
    <t>20244501</t>
  </si>
  <si>
    <t>SD NEGERI 2 KARANGASEM</t>
  </si>
  <si>
    <t>20214636</t>
  </si>
  <si>
    <t>SD NEGERI 2 PANAMBANGAN</t>
  </si>
  <si>
    <t>20215513</t>
  </si>
  <si>
    <t>SD NEGERI 1 SENDANG</t>
  </si>
  <si>
    <t>20214696</t>
  </si>
  <si>
    <t>SD NEGERI 2 SURANENGGALA LOR</t>
  </si>
  <si>
    <t>20215474</t>
  </si>
  <si>
    <t>SD NEGERI 1 TANGKIL</t>
  </si>
  <si>
    <t>20215495</t>
  </si>
  <si>
    <t>SD NEGERI 1 PASAWAHAN</t>
  </si>
  <si>
    <t>20215284</t>
  </si>
  <si>
    <t>SD NEGERI 1 CIREBON GIRANG</t>
  </si>
  <si>
    <t>20215236</t>
  </si>
  <si>
    <t>SD NEGERI 1 BATEMBAT</t>
  </si>
  <si>
    <t>20214477</t>
  </si>
  <si>
    <t>SD NEGERI 3 CIUYAH</t>
  </si>
  <si>
    <t>20244381</t>
  </si>
  <si>
    <t>SD NEGERI 1 TEGALWANGI</t>
  </si>
  <si>
    <t>20214737</t>
  </si>
  <si>
    <t>SD NEGERI 2 SENDE</t>
  </si>
  <si>
    <t>20215048</t>
  </si>
  <si>
    <t>SD NEGERI 1 KANCI</t>
  </si>
  <si>
    <t>20215533</t>
  </si>
  <si>
    <t>SD NEGERI 2 BABAKANGEBANG</t>
  </si>
  <si>
    <t>20215583</t>
  </si>
  <si>
    <t>SD NEGERI 1 WANAYASA</t>
  </si>
  <si>
    <t>20215353</t>
  </si>
  <si>
    <t>SD NEGERI 2 CILEDUG TENGAH</t>
  </si>
  <si>
    <t>20215280</t>
  </si>
  <si>
    <t>SD NEGERI 1 CIWARINGIN</t>
  </si>
  <si>
    <t>20214516</t>
  </si>
  <si>
    <t>SD NEGERI 2 WARUROYOM</t>
  </si>
  <si>
    <t>20215365</t>
  </si>
  <si>
    <t>SD NEGERI 2 CIPANAS</t>
  </si>
  <si>
    <t>20215369</t>
  </si>
  <si>
    <t>SD NEGERI 2 DOMPYONG WETAN</t>
  </si>
  <si>
    <t>20215523</t>
  </si>
  <si>
    <t>SD NEGERI 2 BAYALANGU LOR</t>
  </si>
  <si>
    <t>20215252</t>
  </si>
  <si>
    <t>UPTD NEGERI 1 GEMPOL</t>
  </si>
  <si>
    <t>20215083</t>
  </si>
  <si>
    <t>SD NEGERI 1 JATIPANCUR</t>
  </si>
  <si>
    <t>20244364</t>
  </si>
  <si>
    <t>UPTD SD NEGERI 1 MAYUNG</t>
  </si>
  <si>
    <t>20214535</t>
  </si>
  <si>
    <t>SD NEGERI 3 BAKUNGKIDUL</t>
  </si>
  <si>
    <t>20215069</t>
  </si>
  <si>
    <t>SD NEGERI 1 KALIWEDI LOR</t>
  </si>
  <si>
    <t>20215040</t>
  </si>
  <si>
    <t>SD NEGERI 1 KARANGKENDAL</t>
  </si>
  <si>
    <t>20215016</t>
  </si>
  <si>
    <t>SD NEGERI 3 KALIMEANG</t>
  </si>
  <si>
    <t>20215066</t>
  </si>
  <si>
    <t>SD NEGERI 1 KARANGWANGI</t>
  </si>
  <si>
    <t>20215494</t>
  </si>
  <si>
    <t>SD NEGERI 1 PILANGSARI</t>
  </si>
  <si>
    <t>20214738</t>
  </si>
  <si>
    <t>SD NEGERI 2 SERANG</t>
  </si>
  <si>
    <t>20214656</t>
  </si>
  <si>
    <t>SD NEGERI 2 LEMAHABANG</t>
  </si>
  <si>
    <t>20215237</t>
  </si>
  <si>
    <t>SD NEGERI 1 BARISAN</t>
  </si>
  <si>
    <t>20215377</t>
  </si>
  <si>
    <t>SD NEGERI 2 CITEMU</t>
  </si>
  <si>
    <t>20215087</t>
  </si>
  <si>
    <t>SD NEGERI 1 KALIBUNTU</t>
  </si>
  <si>
    <t>20215134</t>
  </si>
  <si>
    <t>SD NEGERI 1 PABUARAN KIDUL</t>
  </si>
  <si>
    <t>20214540</t>
  </si>
  <si>
    <t>SD NEGERI 3 PANONGAN</t>
  </si>
  <si>
    <t>20215328</t>
  </si>
  <si>
    <t>SD NEGERI 2 ENDER</t>
  </si>
  <si>
    <t>20215124</t>
  </si>
  <si>
    <t>SD NEGERI 1 PANGURAGAN KULON</t>
  </si>
  <si>
    <t>20215199</t>
  </si>
  <si>
    <t>SD NEGERI 1 CIGOBANGWANGI</t>
  </si>
  <si>
    <t>20214941</t>
  </si>
  <si>
    <t>SD NEGERI 3 TEGALSARI</t>
  </si>
  <si>
    <t>20214601</t>
  </si>
  <si>
    <t>SD NEGERI 3 LURAH</t>
  </si>
  <si>
    <t>20214512</t>
  </si>
  <si>
    <t>SD NEGERI 2 WINDUHAJI</t>
  </si>
  <si>
    <t>20215255</t>
  </si>
  <si>
    <t>SD NEGERI 1 GEGUNUNG</t>
  </si>
  <si>
    <t>20215394</t>
  </si>
  <si>
    <t>SD NEGERI 2 KARANGREJA</t>
  </si>
  <si>
    <t>20214711</t>
  </si>
  <si>
    <t>SD NEGERI 2 UJUNGGEBANG</t>
  </si>
  <si>
    <t>20215295</t>
  </si>
  <si>
    <t>SD NEGERI 1 CURUG</t>
  </si>
  <si>
    <t>20215035</t>
  </si>
  <si>
    <t>SD NEGERI 2 KERANDON</t>
  </si>
  <si>
    <t>20215151</t>
  </si>
  <si>
    <t>UPTD SD NEGERI 1 KEMLAKA GEDE</t>
  </si>
  <si>
    <t>20215270</t>
  </si>
  <si>
    <t>SD NEGERI 1 GUNUNGSARI</t>
  </si>
  <si>
    <t>20214948</t>
  </si>
  <si>
    <t>SD NEGERI 4 MEGUGEDE</t>
  </si>
  <si>
    <t>20215537</t>
  </si>
  <si>
    <t>SD NEGERI 2 ARJAWINANGUN</t>
  </si>
  <si>
    <t>20214670</t>
  </si>
  <si>
    <t>SD NEGERI 2 MUNJUL</t>
  </si>
  <si>
    <t>20214519</t>
  </si>
  <si>
    <t>SD NEGERI 3 BABAKAN GEBANG</t>
  </si>
  <si>
    <t>20214530</t>
  </si>
  <si>
    <t>SD NEGERI 3 BEBER</t>
  </si>
  <si>
    <t>20215311</t>
  </si>
  <si>
    <t>SD NEGERI 1 DAMARGUNA</t>
  </si>
  <si>
    <t>20244387</t>
  </si>
  <si>
    <t>SD NEGERI 2 BABAKAN</t>
  </si>
  <si>
    <t>20244503</t>
  </si>
  <si>
    <t>SD NEGERI 2 KARANGWANGI</t>
  </si>
  <si>
    <t>20215116</t>
  </si>
  <si>
    <t>SD NEGERI 1 MANDALA</t>
  </si>
  <si>
    <t>20214485</t>
  </si>
  <si>
    <t>SD NEGERI 3 GEBANG MEKAR</t>
  </si>
  <si>
    <t>20215459</t>
  </si>
  <si>
    <t>SD NEGERI 1 SLENDRA</t>
  </si>
  <si>
    <t>20214625</t>
  </si>
  <si>
    <t>SD NEGERI 2 PALIMANAN BARAT</t>
  </si>
  <si>
    <t>20215163</t>
  </si>
  <si>
    <t>SD NEGERI 1 LEBAK MEKAR</t>
  </si>
  <si>
    <t>20215085</t>
  </si>
  <si>
    <t>SD NEGERI 1 JATIMERTA</t>
  </si>
  <si>
    <t>20214534</t>
  </si>
  <si>
    <t>SD NEGERI 3 BAKUNGLOR</t>
  </si>
  <si>
    <t>20215441</t>
  </si>
  <si>
    <t>SD NEGERI 2 KALIWEDI LOR</t>
  </si>
  <si>
    <t>20215141</t>
  </si>
  <si>
    <t>SD NEGERI 1 KERTASURA</t>
  </si>
  <si>
    <t>20215167</t>
  </si>
  <si>
    <t>SD NEGERI 1 KUBANGKARANG</t>
  </si>
  <si>
    <t>20215486</t>
  </si>
  <si>
    <t>SD NEGERI 1 SUMURKONDANG</t>
  </si>
  <si>
    <t>20244514</t>
  </si>
  <si>
    <t>SD NEGERI 1 KALIKOA</t>
  </si>
  <si>
    <t>20214661</t>
  </si>
  <si>
    <t>SD NEGERI 2 KREYO</t>
  </si>
  <si>
    <t>20215161</t>
  </si>
  <si>
    <t>SD NEGERI 1 LEMAHABANG KULON</t>
  </si>
  <si>
    <t>20215140</t>
  </si>
  <si>
    <t>UPTD SD NEGERI 1 LOSARI KIDUL</t>
  </si>
  <si>
    <t>20214580</t>
  </si>
  <si>
    <t>SD NEGERI 3 PENPEN</t>
  </si>
  <si>
    <t>20214631</t>
  </si>
  <si>
    <t>SD NEGERI 2 PABEDILAN KIDUL</t>
  </si>
  <si>
    <t>20214549</t>
  </si>
  <si>
    <t>SD NEGERI 3 PABUARAN WETAN</t>
  </si>
  <si>
    <t>20214544</t>
  </si>
  <si>
    <t>SD NEGERI 3 PALIMANAN TIMUR</t>
  </si>
  <si>
    <t>20214913</t>
  </si>
  <si>
    <t>SD NEGERI 1 BENDUNGAN</t>
  </si>
  <si>
    <t>20215160</t>
  </si>
  <si>
    <t>SD NEGERI 1 LEMAHTAMBA</t>
  </si>
  <si>
    <t>20215292</t>
  </si>
  <si>
    <t>SD NEGERI 1 CILENGKRANG</t>
  </si>
  <si>
    <t>20215440</t>
  </si>
  <si>
    <t>SD NEGERI 2 KALIWULU</t>
  </si>
  <si>
    <t>20215190</t>
  </si>
  <si>
    <t>SD NEGERI 1 BODESARI</t>
  </si>
  <si>
    <t>20214724</t>
  </si>
  <si>
    <t>SD NEGERI 2 SEDONG KIDUL</t>
  </si>
  <si>
    <t>20214722</t>
  </si>
  <si>
    <t>SD NEGERI 2 SENDANG</t>
  </si>
  <si>
    <t>20214672</t>
  </si>
  <si>
    <t>SD NEGERI 2 MUARA</t>
  </si>
  <si>
    <t>20214600</t>
  </si>
  <si>
    <t>SD NEGERI 3 LUWUNG KENCANA</t>
  </si>
  <si>
    <t>20215204</t>
  </si>
  <si>
    <t>SD NEGERI 1 CIAWIASIH</t>
  </si>
  <si>
    <t>20214706</t>
  </si>
  <si>
    <t>SD NEGERI 2 WANASABA KIDUL</t>
  </si>
  <si>
    <t>20214470</t>
  </si>
  <si>
    <t>SD NEGERI 3 DAWUAN</t>
  </si>
  <si>
    <t>20254084</t>
  </si>
  <si>
    <t>SD NEGERI 1 CISAAT</t>
  </si>
  <si>
    <t>20214751</t>
  </si>
  <si>
    <t>SD NEGERI 2 SETU WETAN BANK JABAR</t>
  </si>
  <si>
    <t>20214942</t>
  </si>
  <si>
    <t>SD NEGERI 3 TEGALGUBUG</t>
  </si>
  <si>
    <t>20244385</t>
  </si>
  <si>
    <t>SD NEGERI 2 ASTANAJAPURA</t>
  </si>
  <si>
    <t>20214504</t>
  </si>
  <si>
    <t>SD NEGERI 3 BABAKAN</t>
  </si>
  <si>
    <t>20214643</t>
  </si>
  <si>
    <t>SD NEGERI 2 PATAPAN</t>
  </si>
  <si>
    <t>20215352</t>
  </si>
  <si>
    <t>SD NEGERI 2 CILEDUGWETAN</t>
  </si>
  <si>
    <t>20215347</t>
  </si>
  <si>
    <t>SD NEGERI 2 GINTUNG KIDUL</t>
  </si>
  <si>
    <t>20215062</t>
  </si>
  <si>
    <t>SD NEGERI 1 KASUGENGAN LOR</t>
  </si>
  <si>
    <t>20215361</t>
  </si>
  <si>
    <t>SD NEGERI 2 CIKALAHANG</t>
  </si>
  <si>
    <t>20215098</t>
  </si>
  <si>
    <t>SD NEGERI 1 KALIMARO</t>
  </si>
  <si>
    <t>20214958</t>
  </si>
  <si>
    <t>SD NEGERI 4 JAGAPURA LOR</t>
  </si>
  <si>
    <t>20214510</t>
  </si>
  <si>
    <t>SD NEGERI 2 WINONG</t>
  </si>
  <si>
    <t>20215272</t>
  </si>
  <si>
    <t>SD NEGERI 1 GUMULUNG TONGGOH</t>
  </si>
  <si>
    <t>20244371</t>
  </si>
  <si>
    <t>SD NEGERI 1 PASINDANGAN</t>
  </si>
  <si>
    <t>20215243</t>
  </si>
  <si>
    <t>SD NEGERI 1 BAKUNG KIDUL</t>
  </si>
  <si>
    <t>20215269</t>
  </si>
  <si>
    <t>SD NEGERI 1 GUWA KIDUL</t>
  </si>
  <si>
    <t>20214911</t>
  </si>
  <si>
    <t>SD NEGERI 4 PEGAGAN KIDUL</t>
  </si>
  <si>
    <t>20215053</t>
  </si>
  <si>
    <t>SD NEGERI 1 KARANGSEMBUNG</t>
  </si>
  <si>
    <t>Total</t>
  </si>
  <si>
    <t>20215054</t>
  </si>
  <si>
    <t>SD NEGERI 1 KEDUNGJAYA</t>
  </si>
  <si>
    <t>20215239</t>
  </si>
  <si>
    <t>SD NEGERI 1 BANGODUA</t>
  </si>
  <si>
    <t>20215506</t>
  </si>
  <si>
    <t>UPTD SD NEGERI 1 SIGONG</t>
  </si>
  <si>
    <t>20215092</t>
  </si>
  <si>
    <t>SD NEGERI 1 KALIRAHAYU</t>
  </si>
  <si>
    <t>20215282</t>
  </si>
  <si>
    <t>SD NEGERI 1 CITEMU</t>
  </si>
  <si>
    <t>20215094</t>
  </si>
  <si>
    <t>SD NEGERI 1 KALIMUKTI</t>
  </si>
  <si>
    <t>20215133</t>
  </si>
  <si>
    <t>SD NEGERI 1 PABUARAN LOR</t>
  </si>
  <si>
    <t>20215206</t>
  </si>
  <si>
    <t>SD NEGERI 1 CENGKUANG</t>
  </si>
  <si>
    <t>20215520</t>
  </si>
  <si>
    <t>SD NEGERI 1 RAWAURIP</t>
  </si>
  <si>
    <t>20215273</t>
  </si>
  <si>
    <t>UPTD SD NEGERI 1 GUJEG</t>
  </si>
  <si>
    <t>20214543</t>
  </si>
  <si>
    <t>SD NEGERI 3 PANEMBAHAN</t>
  </si>
  <si>
    <t>20215492</t>
  </si>
  <si>
    <t>SD NEGERI 1 PLUMBON</t>
  </si>
  <si>
    <t>20214647</t>
  </si>
  <si>
    <t>SD NEGERI 2 PANONGAN LOR</t>
  </si>
  <si>
    <t>20215593</t>
  </si>
  <si>
    <t>SD NEGERI 1 WATUBELAH</t>
  </si>
  <si>
    <t>20215038</t>
  </si>
  <si>
    <t>SD NEGERI 1 KARANGREJA</t>
  </si>
  <si>
    <t>20214936</t>
  </si>
  <si>
    <t>SD NEGERI 3 UJUNGGEBANG</t>
  </si>
  <si>
    <t>20215100</t>
  </si>
  <si>
    <t>SD NEGERI 1 KALIGAWE WETAN</t>
  </si>
  <si>
    <t>20215169</t>
  </si>
  <si>
    <t>SD NEGERI 1 KUBANG</t>
  </si>
  <si>
    <t>20214959</t>
  </si>
  <si>
    <t>SD NEGERI 4 DAWUAN</t>
  </si>
  <si>
    <t>20215193</t>
  </si>
  <si>
    <t>UPTD SD NEGERI 1 CIKULAK KIDUL</t>
  </si>
  <si>
    <t>20215142</t>
  </si>
  <si>
    <t>SD NEGERI 1 KERTASARI</t>
  </si>
  <si>
    <t>20214955</t>
  </si>
  <si>
    <t>SD NEGERI 4 JUNGJANG WETAN</t>
  </si>
  <si>
    <t>20215543</t>
  </si>
  <si>
    <t>SD NEGERI 2 BUNTET</t>
  </si>
  <si>
    <t>20215387</t>
  </si>
  <si>
    <t>UPTD SD NEGERI 2 KARANGWANGUN</t>
  </si>
  <si>
    <t>20215466</t>
  </si>
  <si>
    <t>SD NEGERI 1 SINDANGKASIH</t>
  </si>
  <si>
    <t>20215078</t>
  </si>
  <si>
    <t>SD NEGERI 1 JATISEENG KIDUL</t>
  </si>
  <si>
    <t>20214498</t>
  </si>
  <si>
    <t>SD NEGERI 3 GINTUNG KIDUL</t>
  </si>
  <si>
    <t>20215063</t>
  </si>
  <si>
    <t>SD NEGERI 1 KASUGENGAN KIDUL</t>
  </si>
  <si>
    <t>20215303</t>
  </si>
  <si>
    <t>SD NEGERI 1 DUKUPUNTANG</t>
  </si>
  <si>
    <t>20244365</t>
  </si>
  <si>
    <t>SD NEGERI 1 MELAKASARI</t>
  </si>
  <si>
    <t>20215233</t>
  </si>
  <si>
    <t>SD NEGERI 1 BAYALANGU LOR</t>
  </si>
  <si>
    <t>20215589</t>
  </si>
  <si>
    <t>SD NEGERI 1 WINONG</t>
  </si>
  <si>
    <t>20215251</t>
  </si>
  <si>
    <t>SD NEGERI 1 GUMULUNG LEBAK</t>
  </si>
  <si>
    <t>20214949</t>
  </si>
  <si>
    <t>SD NEGERI 4 KLAYAN</t>
  </si>
  <si>
    <t>20214650</t>
  </si>
  <si>
    <t>SD NEGERI 2 ORIMALANG</t>
  </si>
  <si>
    <t>20215337</t>
  </si>
  <si>
    <t>SD NEGERI 2 GUWA KIDUL</t>
  </si>
  <si>
    <t>20214922</t>
  </si>
  <si>
    <t>SD NEGERI 1 KAPETAKAN</t>
  </si>
  <si>
    <t>20215475</t>
  </si>
  <si>
    <t>SD NEGERI 1 TAMBELANG</t>
  </si>
  <si>
    <t>20215055</t>
  </si>
  <si>
    <t>SD NEGERI 1 KEDUNGDAWA</t>
  </si>
  <si>
    <t>20215371</t>
  </si>
  <si>
    <t>SD NEGERI 2 DANAWINANGUN</t>
  </si>
  <si>
    <t>20246442</t>
  </si>
  <si>
    <t>SD NEGERI 1 PICUNGPUGUR</t>
  </si>
  <si>
    <t>20214620</t>
  </si>
  <si>
    <t>SD NEGERI 2 PANGGANGSARI</t>
  </si>
  <si>
    <t>20215509</t>
  </si>
  <si>
    <t>SD NEGERI 1 SETUPATOK</t>
  </si>
  <si>
    <t>20214487</t>
  </si>
  <si>
    <t>SD NEGERI 2 KALIBUNTU</t>
  </si>
  <si>
    <t>20215514</t>
  </si>
  <si>
    <t>SD NEGERI 1 SEMPLO</t>
  </si>
  <si>
    <t>20244358</t>
  </si>
  <si>
    <t>SD NEGERI 1 JAPURA LOR</t>
  </si>
  <si>
    <t>20214921</t>
  </si>
  <si>
    <t>20215051</t>
  </si>
  <si>
    <t>SD NEGERI 1 KALIWULU</t>
  </si>
  <si>
    <t>20215399</t>
  </si>
  <si>
    <t>SD NEGERI 1 KEBAREPAN</t>
  </si>
  <si>
    <t>20215590</t>
  </si>
  <si>
    <t>SD NEGERI 1 WINDUJAYA</t>
  </si>
  <si>
    <t>20215496</t>
  </si>
  <si>
    <t>SD NEGERI 1 PERBUTULAN</t>
  </si>
  <si>
    <t>20215484</t>
  </si>
  <si>
    <t>SD NEGERI 1 SURANENGGALA</t>
  </si>
  <si>
    <t>20215587</t>
  </si>
  <si>
    <t>SD NEGERI 1 WIYONG</t>
  </si>
  <si>
    <t>20252017</t>
  </si>
  <si>
    <t>SD NEGERI 2 CIAWIJAPURA</t>
  </si>
  <si>
    <t>20215569</t>
  </si>
  <si>
    <t>SD NEGERI 1 WANASABA KIDUL</t>
  </si>
  <si>
    <t>20215404</t>
  </si>
  <si>
    <t>SD NEGERI 2 KEMLAKA GEDE</t>
  </si>
  <si>
    <t>20215194</t>
  </si>
  <si>
    <t>SD NEGERI 1 CIKULAK</t>
  </si>
  <si>
    <t>20215112</t>
  </si>
  <si>
    <t>SD NEGERI 1 MEGUGEDE</t>
  </si>
  <si>
    <t>20215248</t>
  </si>
  <si>
    <t>SD NEGERI 1 GEYONGAN</t>
  </si>
  <si>
    <t>20244366</t>
  </si>
  <si>
    <t>SD NEGERI 1 MUNJUL</t>
  </si>
  <si>
    <t>20215470</t>
  </si>
  <si>
    <t>SD NEGERI 1 SUMBERKIDUL</t>
  </si>
  <si>
    <t>20214743</t>
  </si>
  <si>
    <t>SD NEGERI 2 SINDANGKASIH</t>
  </si>
  <si>
    <t>20215175</t>
  </si>
  <si>
    <t>SD NEGERI 1 CILEDUG KULON</t>
  </si>
  <si>
    <t>20215262</t>
  </si>
  <si>
    <t>SD NEGERI 1 GINTUNG RANJENG</t>
  </si>
  <si>
    <t>20244361</t>
  </si>
  <si>
    <t>20214559</t>
  </si>
  <si>
    <t>SD NEGERI 3 SINDANGJAWA</t>
  </si>
  <si>
    <t>20215260</t>
  </si>
  <si>
    <t>SD NEGERI 1 GEBANGMEKAR</t>
  </si>
  <si>
    <t>20215256</t>
  </si>
  <si>
    <t>SD NEGERI 1 GEGESIK LOR</t>
  </si>
  <si>
    <t>20214946</t>
  </si>
  <si>
    <t>SD NEGERI 3 WINONG</t>
  </si>
  <si>
    <t>20215342</t>
  </si>
  <si>
    <t>SD NEGERI 2 GREGED</t>
  </si>
  <si>
    <t>20215084</t>
  </si>
  <si>
    <t>SD NEGERI 1 JADIMULYA</t>
  </si>
  <si>
    <t>20215451</t>
  </si>
  <si>
    <t>SD NEGERI 2 JAMBLANG</t>
  </si>
  <si>
    <t>20215268</t>
  </si>
  <si>
    <t>SD NEGERI 1 GUWA LOR</t>
  </si>
  <si>
    <t>20215500</t>
  </si>
  <si>
    <t>SD NEGERI 1 PEGAGAN LOR</t>
  </si>
  <si>
    <t>20215046</t>
  </si>
  <si>
    <t>SD NEGERI 1 KARANGMALANG</t>
  </si>
  <si>
    <t>20215510</t>
  </si>
  <si>
    <t>SD NEGERI 1 SERANG</t>
  </si>
  <si>
    <t>20244513</t>
  </si>
  <si>
    <t>SD NEGERI 4 SIGONG</t>
  </si>
  <si>
    <t>20215139</t>
  </si>
  <si>
    <t>SD NEGERI 1 LOSARI LOR</t>
  </si>
  <si>
    <t>20214623</t>
  </si>
  <si>
    <t>SD NEGERI 2 PAMENGKANG</t>
  </si>
  <si>
    <t>20244380</t>
  </si>
  <si>
    <t>SD NEGERI 1 SIDARESMI</t>
  </si>
  <si>
    <t>20215145</t>
  </si>
  <si>
    <t>SD NEGERI 1 KEPUH</t>
  </si>
  <si>
    <t>20215578</t>
  </si>
  <si>
    <t>SD NEGERI 1 TRUSMI KULON</t>
  </si>
  <si>
    <t>20215036</t>
  </si>
  <si>
    <t>SD NEGERI 1 KEDUNGSANA</t>
  </si>
  <si>
    <t>20214916</t>
  </si>
  <si>
    <t>SD NEGERI 1 KERTAWANGUN</t>
  </si>
  <si>
    <t>20215148</t>
  </si>
  <si>
    <t>SD NEGERI 1 KENANGA</t>
  </si>
  <si>
    <t>20214578</t>
  </si>
  <si>
    <t>SD NEGERI 3 PURWAWINANGUN</t>
  </si>
  <si>
    <t>20215415</t>
  </si>
  <si>
    <t>SD NEGERI 2 KEDONGDONG</t>
  </si>
  <si>
    <t>20215101</t>
  </si>
  <si>
    <t>SD NEGERI 1 KALIGAWE</t>
  </si>
  <si>
    <t>20215568</t>
  </si>
  <si>
    <t>SD NEGERI 1 WANASABA LOR</t>
  </si>
  <si>
    <t>20215201</t>
  </si>
  <si>
    <t>SD NEGERI 1 CIBOGO</t>
  </si>
  <si>
    <t>20214686</t>
  </si>
  <si>
    <t>SD NEGERI 2 KERTASARI</t>
  </si>
  <si>
    <t>20214906</t>
  </si>
  <si>
    <t>SD NEGERI 5 ARJAWINANGUN</t>
  </si>
  <si>
    <t>20215507</t>
  </si>
  <si>
    <t>SD NEGERI 1 SIDAMULYA</t>
  </si>
  <si>
    <t>20214701</t>
  </si>
  <si>
    <t>SD NEGERI 2 SUMBERKIDUL</t>
  </si>
  <si>
    <t>20215171</t>
  </si>
  <si>
    <t>SD NEGERI 1 KONDANGSARI</t>
  </si>
  <si>
    <t>20215373</t>
  </si>
  <si>
    <t>SD NEGERI 2 DAMARGUNA</t>
  </si>
  <si>
    <t>20215414</t>
  </si>
  <si>
    <t>SD NEGERI 2 KEDUANAN</t>
  </si>
  <si>
    <t>20214478</t>
  </si>
  <si>
    <t>SD NEGERI 3 CISAAT</t>
  </si>
  <si>
    <t>20215096</t>
  </si>
  <si>
    <t>SD NEGERI 1 KALIMEKAR</t>
  </si>
  <si>
    <t>20215235</t>
  </si>
  <si>
    <t>SD NEGERI 1 BAYALANGU KIDUL</t>
  </si>
  <si>
    <t>20215149</t>
  </si>
  <si>
    <t>SD NEGERI 1 KEMPEK</t>
  </si>
  <si>
    <t>20215302</t>
  </si>
  <si>
    <t>SD NEGERI 1 DURAJAYA</t>
  </si>
  <si>
    <t>20215091</t>
  </si>
  <si>
    <t>SD NEGERI 1 KALISAPU</t>
  </si>
  <si>
    <t>20215529</t>
  </si>
  <si>
    <t>SD NEGERI 2 BAKUNG LOR</t>
  </si>
  <si>
    <t>20215442</t>
  </si>
  <si>
    <t>SD NEGERI 2 KALIWEDI KIDUL</t>
  </si>
  <si>
    <t>20215368</t>
  </si>
  <si>
    <t>SD NEGERI 2 DUKUH</t>
  </si>
  <si>
    <t>20215390</t>
  </si>
  <si>
    <t>SD NEGERI 2 KARANGSUWUNG</t>
  </si>
  <si>
    <t>20214554</t>
  </si>
  <si>
    <t>SD NEGERI 3 PEKANTINGAN</t>
  </si>
  <si>
    <t>20246445</t>
  </si>
  <si>
    <t>SD NEGERI 1 TUK KARANGSUWUNG</t>
  </si>
  <si>
    <t>20215090</t>
  </si>
  <si>
    <t>SD NEGERI 1 KALISARI</t>
  </si>
  <si>
    <t>20214896</t>
  </si>
  <si>
    <t>SD NEGERI 1 MUNDUMESIGIT</t>
  </si>
  <si>
    <t>20215226</t>
  </si>
  <si>
    <t>SD NEGERI 1 BABAKANLOSARI</t>
  </si>
  <si>
    <t>20215290</t>
  </si>
  <si>
    <t>SD NEGERI 1 CILUKRAK</t>
  </si>
  <si>
    <t>20246447</t>
  </si>
  <si>
    <t>SD NEGERI 2 CANGKRING</t>
  </si>
  <si>
    <t>20215276</t>
  </si>
  <si>
    <t>SD NEGERI 1 GOMBANG</t>
  </si>
  <si>
    <t>20246446</t>
  </si>
  <si>
    <t>SD NEGERI 1 WINDUHAJI</t>
  </si>
  <si>
    <t>20214951</t>
  </si>
  <si>
    <t>SD NEGERI 4 KENANGA</t>
  </si>
  <si>
    <t>20215481</t>
  </si>
  <si>
    <t>SD NEGERI 1 SURANENGGALA LOR</t>
  </si>
  <si>
    <t>20215480</t>
  </si>
  <si>
    <t>SD NEGERI 1 SUSUKAN</t>
  </si>
  <si>
    <t>20215039</t>
  </si>
  <si>
    <t>SD NEGERI 1 KARANGMANGU</t>
  </si>
  <si>
    <t>20214705</t>
  </si>
  <si>
    <t>SD NEGERI 2 WANASABA LOR</t>
  </si>
  <si>
    <t>20215362</t>
  </si>
  <si>
    <t>SD NEGERI 2 CIBOGO</t>
  </si>
  <si>
    <t>20214573</t>
  </si>
  <si>
    <t>SD NEGERI 3 SETU WETAN</t>
  </si>
  <si>
    <t>20214905</t>
  </si>
  <si>
    <t>SD NEGERI 5 JUNGJANG</t>
  </si>
  <si>
    <t>20214551</t>
  </si>
  <si>
    <t>SD NEGERI 3 MERTAPADAKULON</t>
  </si>
  <si>
    <t>20215131</t>
  </si>
  <si>
    <t>SD NEGERI 1 PAKUSAMBEN</t>
  </si>
  <si>
    <t>20214662</t>
  </si>
  <si>
    <t>SD NEGERI 2 KONDANGSARI</t>
  </si>
  <si>
    <t>20215597</t>
  </si>
  <si>
    <t>SD NEGERI 1 WARUGEDE</t>
  </si>
  <si>
    <t>20214481</t>
  </si>
  <si>
    <t>SD NEGERI 3 CIPANAS</t>
  </si>
  <si>
    <t>20215493</t>
  </si>
  <si>
    <t>SD NEGERI 1 PLAYANGAN</t>
  </si>
  <si>
    <t>20244355</t>
  </si>
  <si>
    <t>SD NEGERI 1 JAGAPURA KIDUL</t>
  </si>
  <si>
    <t>20215172</t>
  </si>
  <si>
    <t>SD NEGERI 1 KLAYAN</t>
  </si>
  <si>
    <t>20244393</t>
  </si>
  <si>
    <t>SD NEGERI 2 BOJONG LOR</t>
  </si>
  <si>
    <t>20215180</t>
  </si>
  <si>
    <t>SD NEGERI 1 BUNGKO</t>
  </si>
  <si>
    <t>20215067</t>
  </si>
  <si>
    <t>SD NEGERI 1 KARANGTENGAH</t>
  </si>
  <si>
    <t>20215157</t>
  </si>
  <si>
    <t>SD NEGERI 1 KLANGENAN</t>
  </si>
  <si>
    <t>20215287</t>
  </si>
  <si>
    <t>UPTD SD NEGERI 1 CIPEUJEUH KULON</t>
  </si>
  <si>
    <t>20214507</t>
  </si>
  <si>
    <t>SD NEGERI 3 AMBULU</t>
  </si>
  <si>
    <t>20215118</t>
  </si>
  <si>
    <t>SD NEGERI 1 LUWUNG</t>
  </si>
  <si>
    <t>20214520</t>
  </si>
  <si>
    <t>SD NEGERI 3 BABAKANLOSARI</t>
  </si>
  <si>
    <t>20215240</t>
  </si>
  <si>
    <t>SD NEGERI 1 BALERANTE</t>
  </si>
  <si>
    <t>20214596</t>
  </si>
  <si>
    <t>SD NEGERI 3 KALIWULU</t>
  </si>
  <si>
    <t>20244373</t>
  </si>
  <si>
    <t>SD NEGERI 1 PESANGGRAHAN</t>
  </si>
  <si>
    <t>20215014</t>
  </si>
  <si>
    <t>UPTD SDN 1 Panongan</t>
  </si>
  <si>
    <t>20215454</t>
  </si>
  <si>
    <t>SD NEGERI 1 SUMBER</t>
  </si>
  <si>
    <t>20215106</t>
  </si>
  <si>
    <t>SD NEGERI 1 MUARA</t>
  </si>
  <si>
    <t>20215429</t>
  </si>
  <si>
    <t>SD NEGERI 2 JATIANOM</t>
  </si>
  <si>
    <t>20215011</t>
  </si>
  <si>
    <t>SD NEGERI 1 SAMPIH</t>
  </si>
  <si>
    <t>20215452</t>
  </si>
  <si>
    <t xml:space="preserve">SD NEGERI 2 CEMPAKA </t>
  </si>
  <si>
    <t>20215219</t>
  </si>
  <si>
    <t>SD NEGERI 1 AMBIT</t>
  </si>
  <si>
    <t>20244378</t>
  </si>
  <si>
    <t>SD NEGERI 1 SETU KULON</t>
  </si>
  <si>
    <t>20215074</t>
  </si>
  <si>
    <t>SD NEGERI 1 JUNGJANG WETAN</t>
  </si>
  <si>
    <t>20215178</t>
  </si>
  <si>
    <t>SD NEGERI 1 BUNTET</t>
  </si>
  <si>
    <t>20244348</t>
  </si>
  <si>
    <t>20215468</t>
  </si>
  <si>
    <t>SD NEGERI 1 SINDANGHAYU</t>
  </si>
  <si>
    <t>20215384</t>
  </si>
  <si>
    <t>SD NEGERI 2 KASUGENGAN LOR</t>
  </si>
  <si>
    <t>20215349</t>
  </si>
  <si>
    <t>SD NEGERI 2 DUKUPUNTANG</t>
  </si>
  <si>
    <t>20215278</t>
  </si>
  <si>
    <t>SD NEGERI 1 GEBANG KULON</t>
  </si>
  <si>
    <t>20244353</t>
  </si>
  <si>
    <t>SD NEGERI 1 GEGESIK WETAN</t>
  </si>
  <si>
    <t>20215107</t>
  </si>
  <si>
    <t>SD NEGERI 1 MERTASINGA</t>
  </si>
  <si>
    <t>20215187</t>
  </si>
  <si>
    <t>SD NEGERI 1 BOJONG LOR</t>
  </si>
  <si>
    <t>20214553</t>
  </si>
  <si>
    <t>SD NEGERI 3 PEGAGAN KIDUL</t>
  </si>
  <si>
    <t>20214692</t>
  </si>
  <si>
    <t>SD NEGERI 2 TAMBELANG</t>
  </si>
  <si>
    <t>20215076</t>
  </si>
  <si>
    <t>SD NEGERI 1 JEMARAS LOR</t>
  </si>
  <si>
    <t>20215230</t>
  </si>
  <si>
    <t>SD NEGERI 1 BELAWA</t>
  </si>
  <si>
    <t>20244367</t>
  </si>
  <si>
    <t>SD NEGERI 1 PAMENGKANG</t>
  </si>
  <si>
    <t>20215135</t>
  </si>
  <si>
    <t>SD NEGERI 1 PABEDILANWETAN</t>
  </si>
  <si>
    <t>20215582</t>
  </si>
  <si>
    <t>SD NEGERI 1 TEGALKARANG</t>
  </si>
  <si>
    <t>20215577</t>
  </si>
  <si>
    <t>SD NEGERI 1 TRUSMI WETAN</t>
  </si>
  <si>
    <t>20215115</t>
  </si>
  <si>
    <t>SD NEGERI 1 MARIKANGEN</t>
  </si>
  <si>
    <t>20215504</t>
  </si>
  <si>
    <t>SD NEGERI 1 PUTAT</t>
  </si>
  <si>
    <t>20214702</t>
  </si>
  <si>
    <t>UPTD SD NEGERI 2 SUMBER</t>
  </si>
  <si>
    <t>20214584</t>
  </si>
  <si>
    <t>SD NEGERI 3 KEDONGDONG</t>
  </si>
  <si>
    <t>20214728</t>
  </si>
  <si>
    <t>SD NEGERI 2 SAMPIRAN</t>
  </si>
  <si>
    <t>20214503</t>
  </si>
  <si>
    <t>SD NEGERI 3 CIKULAK</t>
  </si>
  <si>
    <t>20215113</t>
  </si>
  <si>
    <t>SD NEGERI 1 MEGU CILIK</t>
  </si>
  <si>
    <t>20215421</t>
  </si>
  <si>
    <t>SD NEGERI 2 JUNGJANGWETAN</t>
  </si>
  <si>
    <t>20215147</t>
  </si>
  <si>
    <t>SD NEGERI 1 KENDAL</t>
  </si>
  <si>
    <t>20215003</t>
  </si>
  <si>
    <t>SD NEGERI TERSANA BARU</t>
  </si>
  <si>
    <t>20215267</t>
  </si>
  <si>
    <t>SD NEGERI 1 HALIMPU</t>
  </si>
  <si>
    <t>20214536</t>
  </si>
  <si>
    <t>SD NEGERI 2 WARUGEDE</t>
  </si>
  <si>
    <t>20215176</t>
  </si>
  <si>
    <t>SD NEGERI 1 CANGKOAK</t>
  </si>
  <si>
    <t>20215323</t>
  </si>
  <si>
    <t>SD NEGERI 2 GEBANG KULON</t>
  </si>
  <si>
    <t>20215524</t>
  </si>
  <si>
    <t>SD NEGERI 2 BAYALANGU KIDUL</t>
  </si>
  <si>
    <t>20214497</t>
  </si>
  <si>
    <t>SD NEGERI 3 GROGOL</t>
  </si>
  <si>
    <t>20215185</t>
  </si>
  <si>
    <t>SD NEGERI 1 BOJONG WETAN</t>
  </si>
  <si>
    <t>20214639</t>
  </si>
  <si>
    <t>SD NEGERI 2 PEGAGAN LOR</t>
  </si>
  <si>
    <t>20215398</t>
  </si>
  <si>
    <t>SD NEGERI 2 KARANGMALANG</t>
  </si>
  <si>
    <t>20215077</t>
  </si>
  <si>
    <t>SD NEGERI 1 JEMARAS KIDUL</t>
  </si>
  <si>
    <t>20215380</t>
  </si>
  <si>
    <t>SD NEGERI 2 CIPEUJEUH WETAN</t>
  </si>
  <si>
    <t>20215105</t>
  </si>
  <si>
    <t>SD NEGERI 1 MUNDUPESISIR</t>
  </si>
  <si>
    <t>20215227</t>
  </si>
  <si>
    <t>SD NEGERI 1 BABAKAN LOSARI LOR</t>
  </si>
  <si>
    <t>20214703</t>
  </si>
  <si>
    <t>SD NEGERI 2 TEGALKARANG</t>
  </si>
  <si>
    <t>20215298</t>
  </si>
  <si>
    <t>SD NEGERI 1 GAMEL</t>
  </si>
  <si>
    <t>20244392</t>
  </si>
  <si>
    <t>SD NEGERI 2 BODESARI</t>
  </si>
  <si>
    <t>20215153</t>
  </si>
  <si>
    <t>SD NEGERI 1 KEMANTREN</t>
  </si>
  <si>
    <t>20214691</t>
  </si>
  <si>
    <t>SD NEGERI 2 TANGKIL</t>
  </si>
  <si>
    <t>20215518</t>
  </si>
  <si>
    <t>SD NEGERI 1 SAMPIRAN</t>
  </si>
  <si>
    <t>20215571</t>
  </si>
  <si>
    <t>SD NEGERI 1 WALEDASEM</t>
  </si>
  <si>
    <t>20215060</t>
  </si>
  <si>
    <t>SD NEGERI 1 KEBONTURI</t>
  </si>
  <si>
    <t>20214526</t>
  </si>
  <si>
    <t>SD NEGERI 3 BUNTET</t>
  </si>
  <si>
    <t>20215166</t>
  </si>
  <si>
    <t>SD NEGERI 1 KUDUKERAS</t>
  </si>
  <si>
    <t>20215600</t>
  </si>
  <si>
    <t>SD NEGERI 1 WARUROYOM</t>
  </si>
  <si>
    <t>20215241</t>
  </si>
  <si>
    <t>SD NEGERI 1 BALAD</t>
  </si>
  <si>
    <t>20215297</t>
  </si>
  <si>
    <t>SD NEGERI 1 GEBANG</t>
  </si>
  <si>
    <t>20214532</t>
  </si>
  <si>
    <t>SD NEGERI 3 BAYALANGU KIDUL</t>
  </si>
  <si>
    <t>20215212</t>
  </si>
  <si>
    <t>SD NEGERI 1 BABADAN</t>
  </si>
  <si>
    <t>20214616</t>
  </si>
  <si>
    <t>SD NEGERI 2 WANGUNHARJA</t>
  </si>
  <si>
    <t>20215416</t>
  </si>
  <si>
    <t>SD NEGERI 2 KARANGKENDAL</t>
  </si>
  <si>
    <t>20214556</t>
  </si>
  <si>
    <t>SD NEGERI 3 SLANGIT</t>
  </si>
  <si>
    <t>20215286</t>
  </si>
  <si>
    <t>SD NEGERI 1 CIPEUJEUH WETAN</t>
  </si>
  <si>
    <t>20214671</t>
  </si>
  <si>
    <t>UPTD SD NEGERI 2 MUNDUPESISIR</t>
  </si>
  <si>
    <t>20215488</t>
  </si>
  <si>
    <t>SD NEGERI 1 SILIH ASIH</t>
  </si>
  <si>
    <t>20215129</t>
  </si>
  <si>
    <t>SD NEGERI 1 PALIMANAN TIMUR</t>
  </si>
  <si>
    <t>20215310</t>
  </si>
  <si>
    <t>SD NEGERI 1 DANAMULYA</t>
  </si>
  <si>
    <t>20246438</t>
  </si>
  <si>
    <t>SDN 1 Babakan</t>
  </si>
  <si>
    <t>20215155</t>
  </si>
  <si>
    <t>SD NEGERI 1 KEJIWAN</t>
  </si>
  <si>
    <t>20215516</t>
  </si>
  <si>
    <t>SD NEGERI 1 SARWADADI</t>
  </si>
  <si>
    <t>20214708</t>
  </si>
  <si>
    <t>SD NEGERI 2 WALEDKOTA</t>
  </si>
  <si>
    <t>20244346</t>
  </si>
  <si>
    <t>SD NEGERI 2 JUNGJANG</t>
  </si>
  <si>
    <t>20215174</t>
  </si>
  <si>
    <t>SD NEGERI 1 JAPURA KIDUL</t>
  </si>
  <si>
    <t>20215471</t>
  </si>
  <si>
    <t>SD NEGERI 1 SUMBERLOR</t>
  </si>
  <si>
    <t>20214925</t>
  </si>
  <si>
    <t>SD NEGERI 1 DEPOK</t>
  </si>
  <si>
    <t>20215528</t>
  </si>
  <si>
    <t>SD NEGERI 2 BALAD</t>
  </si>
  <si>
    <t>20215264</t>
  </si>
  <si>
    <t>SD NEGERI 1 JAGAPURA WETAN</t>
  </si>
  <si>
    <t>20214663</t>
  </si>
  <si>
    <t>SD NEGERI 2 KLAYAN</t>
  </si>
  <si>
    <t>20215424</t>
  </si>
  <si>
    <t>SD NEGERI 2 JEMARAS KIDUL</t>
  </si>
  <si>
    <t>20214570</t>
  </si>
  <si>
    <t>SD NEGERI 3 SIGONG</t>
  </si>
  <si>
    <t>20215120</t>
  </si>
  <si>
    <t>SD NEGERI 1 LUNGBENDA</t>
  </si>
  <si>
    <t>20215044</t>
  </si>
  <si>
    <t>SD NEGERI 1 KARANG MULYA</t>
  </si>
  <si>
    <t>20214515</t>
  </si>
  <si>
    <t>SD NEGERI 2 WATUBELAH</t>
  </si>
  <si>
    <t>20214683</t>
  </si>
  <si>
    <t>SD NEGERI 2 LUWUNGKENCANA</t>
  </si>
  <si>
    <t>20215146</t>
  </si>
  <si>
    <t>SD NEGERI 1 KEPONGPONGAN</t>
  </si>
  <si>
    <t>20215453</t>
  </si>
  <si>
    <t>SD NEGERI 1 TEGALGUBUG</t>
  </si>
  <si>
    <t>20215109</t>
  </si>
  <si>
    <t>SD NEGERI 1 MERTAPADA KULON</t>
  </si>
  <si>
    <t>20215165</t>
  </si>
  <si>
    <t>SD NEGERI 1 KUDUMULYA</t>
  </si>
  <si>
    <t>20215596</t>
  </si>
  <si>
    <t>SD NEGERI 1 WARUJAYA</t>
  </si>
  <si>
    <t>20214740</t>
  </si>
  <si>
    <t>SD NEGERI 2 SINDANGMEKAR</t>
  </si>
  <si>
    <t>20215258</t>
  </si>
  <si>
    <t>SD NEGERI 1 GEGESIK KIDUL</t>
  </si>
  <si>
    <t>20214673</t>
  </si>
  <si>
    <t>SD NEGERI 2 MERTASINGA</t>
  </si>
  <si>
    <t>20215564</t>
  </si>
  <si>
    <t>SD NEGERI 2 BELAWA</t>
  </si>
  <si>
    <t>20214641</t>
  </si>
  <si>
    <t>SD NEGERI 2 PEGAGAN</t>
  </si>
  <si>
    <t>20215409</t>
  </si>
  <si>
    <t>SD NEGERI 2 KEDUNGSANA</t>
  </si>
  <si>
    <t>20215575</t>
  </si>
  <si>
    <t>SD NEGERI 1 TUKMUDAL</t>
  </si>
  <si>
    <t>20214943</t>
  </si>
  <si>
    <t>SD NEGERI 3 TANGKIL</t>
  </si>
  <si>
    <t>20214577</t>
  </si>
  <si>
    <t>SD NEGERI 3 SAMPIRAN</t>
  </si>
  <si>
    <t>20215182</t>
  </si>
  <si>
    <t>SD NEGERI 1 BULAK</t>
  </si>
  <si>
    <t>20214753</t>
  </si>
  <si>
    <t>SD NEGERI 2 SERANGWETAN</t>
  </si>
  <si>
    <t>20215385</t>
  </si>
  <si>
    <t>SD NEGERI 2 KASUGENGAN KIDUL</t>
  </si>
  <si>
    <t>20215283</t>
  </si>
  <si>
    <t>20215331</t>
  </si>
  <si>
    <t>SD NEGERI 2 JAGAPURA KIDUL</t>
  </si>
  <si>
    <t>20244384</t>
  </si>
  <si>
    <t>SD NEGERI 1 WANAKAYA</t>
  </si>
  <si>
    <t>20214930</t>
  </si>
  <si>
    <t>SD NEGERI 4 PALIMANAN TIMUR</t>
  </si>
  <si>
    <t>20214582</t>
  </si>
  <si>
    <t>SD NEGERI 3 MARIKANGEN</t>
  </si>
  <si>
    <t>20246440</t>
  </si>
  <si>
    <t>UPTD SD NEGERI 1 PASALAKAN</t>
  </si>
  <si>
    <t>20215188</t>
  </si>
  <si>
    <t>SD NEGERI 1 BOJONGKULON</t>
  </si>
  <si>
    <t>20215566</t>
  </si>
  <si>
    <t>SD NEGERI 1 TEGALGUBUG LOR</t>
  </si>
  <si>
    <t>20215010</t>
  </si>
  <si>
    <t>SD NEGERI 1 SERANGKULON</t>
  </si>
  <si>
    <t>20215196</t>
  </si>
  <si>
    <t>SD NEGERI 1 CIKEDUK</t>
  </si>
  <si>
    <t>20214473</t>
  </si>
  <si>
    <t>SD NEGERI 3 DUKUPUNTANG</t>
  </si>
  <si>
    <t>20244397</t>
  </si>
  <si>
    <t>SD NEGERI 2 JAGAPURA WETAN</t>
  </si>
  <si>
    <t>20214707</t>
  </si>
  <si>
    <t>SD NEGERI 2 WANAKAYA</t>
  </si>
  <si>
    <t>20215128</t>
  </si>
  <si>
    <t>SD NEGERI 1 PAMIJAHAN</t>
  </si>
  <si>
    <t>20214680</t>
  </si>
  <si>
    <t>SD NEGERI 2 MATANGAJI</t>
  </si>
  <si>
    <t>20215081</t>
  </si>
  <si>
    <t>SD NEGERI 1 JATIPURA</t>
  </si>
  <si>
    <t>20214956</t>
  </si>
  <si>
    <t>SD NEGERI 4 JUNGJANG</t>
  </si>
  <si>
    <t>20214626</t>
  </si>
  <si>
    <t>SD NEGERI 2 PAKUSAMBEN</t>
  </si>
  <si>
    <t>20215277</t>
  </si>
  <si>
    <t>SD NEGERI 1 GIRINATA</t>
  </si>
  <si>
    <t>20215056</t>
  </si>
  <si>
    <t>SD NEGERI 1 KEDUNGDALEM</t>
  </si>
  <si>
    <t>20215519</t>
  </si>
  <si>
    <t>SD NEGERI 1 SAMBENG</t>
  </si>
  <si>
    <t>20215119</t>
  </si>
  <si>
    <t>SD NEGERI 1 LURAH</t>
  </si>
  <si>
    <t>20246443</t>
  </si>
  <si>
    <t>SD NEGERI 1 SIDAWANGI</t>
  </si>
  <si>
    <t>20214528</t>
  </si>
  <si>
    <t>SD NEGERI 3 BOJONGKULON</t>
  </si>
  <si>
    <t>20215469</t>
  </si>
  <si>
    <t>SD NEGERI 1 SINDANGJAWA</t>
  </si>
  <si>
    <t>20215257</t>
  </si>
  <si>
    <t>SD NEGERI 1 GEGESIK KULON</t>
  </si>
  <si>
    <t>20215220</t>
  </si>
  <si>
    <t>SD NEGERI 1 ADIDHARMA</t>
  </si>
  <si>
    <t>20214754</t>
  </si>
  <si>
    <t>SD NEGERI 2 PESANGGRAHAN</t>
  </si>
  <si>
    <t>20215402</t>
  </si>
  <si>
    <t>SD NEGERI 2 KENANGA</t>
  </si>
  <si>
    <t>20215574</t>
  </si>
  <si>
    <t>SD NEGERI 1 UJUNGGEBANG</t>
  </si>
  <si>
    <t>10114917</t>
  </si>
  <si>
    <t>SD NEGERI KEPUNDUAN</t>
  </si>
  <si>
    <t>20214681</t>
  </si>
  <si>
    <t>SD NEGERI 2 MARIKANGEN</t>
  </si>
  <si>
    <t>20215114</t>
  </si>
  <si>
    <t>SD NEGERI 1 MATANGAJI</t>
  </si>
  <si>
    <t>20215244</t>
  </si>
  <si>
    <t>SD NEGERI 2 GINTUNGLOR</t>
  </si>
  <si>
    <t>20214918</t>
  </si>
  <si>
    <t>SD NEGERI 1 KEDONGDONG KIDUL</t>
  </si>
  <si>
    <t>20244395</t>
  </si>
  <si>
    <t>SD NEGERI 2 CEMPAKA</t>
  </si>
  <si>
    <t>20215499</t>
  </si>
  <si>
    <t>SD NEGERI 1 PEJAMBON</t>
  </si>
  <si>
    <t>20215462</t>
  </si>
  <si>
    <t>SD NEGERI 1 SINDANGMEKAR</t>
  </si>
  <si>
    <t>20215208</t>
  </si>
  <si>
    <t>SD NEGERI 1 BODELOR</t>
  </si>
  <si>
    <t>Data Fasilitas Sekolah Per-Kecamatan</t>
  </si>
  <si>
    <t xml:space="preserve">Nama Kecamatan </t>
  </si>
  <si>
    <t>Jenis Fasilitas</t>
  </si>
  <si>
    <t>Jumlah</t>
  </si>
  <si>
    <t>Satuan</t>
  </si>
  <si>
    <t>Tahun</t>
  </si>
  <si>
    <t>Perpustakaan</t>
  </si>
  <si>
    <t>Unit</t>
  </si>
  <si>
    <t>Tempat Ibadah</t>
  </si>
  <si>
    <t>Toilet</t>
  </si>
  <si>
    <t>UKS</t>
  </si>
  <si>
    <t>Tengah tani</t>
  </si>
  <si>
    <t>Data Infrastruktur Kondisi Ruang Kelas Sekolah SD Per-Kecamatan</t>
  </si>
  <si>
    <t xml:space="preserve">Kondisi </t>
  </si>
  <si>
    <t>Baik</t>
  </si>
  <si>
    <t>Gunung Jati</t>
  </si>
  <si>
    <t>Rusak Ringan</t>
  </si>
  <si>
    <t>Rusak Berat</t>
  </si>
  <si>
    <t>Tengah Tani</t>
  </si>
  <si>
    <t>Data Rombongan Belajar dan Kode kecamatan</t>
  </si>
  <si>
    <t>Kode Kecamatan</t>
  </si>
  <si>
    <t>Rombongan Belajar</t>
  </si>
  <si>
    <t>WALED</t>
  </si>
  <si>
    <t>Kelas</t>
  </si>
  <si>
    <t>CILEDUG</t>
  </si>
  <si>
    <t>LOSARI</t>
  </si>
  <si>
    <t>PABEDILAN</t>
  </si>
  <si>
    <t>BABAKAN</t>
  </si>
  <si>
    <t>KARANGSEMBUNG</t>
  </si>
  <si>
    <t>LEMAHABANG</t>
  </si>
  <si>
    <t>SUSUKANLEBAK</t>
  </si>
  <si>
    <t>SEDONG</t>
  </si>
  <si>
    <t>ASTANAJAPURA</t>
  </si>
  <si>
    <t>PANGENAN</t>
  </si>
  <si>
    <t>MUNDU</t>
  </si>
  <si>
    <t>BEBER</t>
  </si>
  <si>
    <t>TALUN</t>
  </si>
  <si>
    <t>SUMBER</t>
  </si>
  <si>
    <t>DUKUPUNTANG</t>
  </si>
  <si>
    <t>PALIMANAN</t>
  </si>
  <si>
    <t>PLUMBON</t>
  </si>
  <si>
    <t>WERU</t>
  </si>
  <si>
    <t>KEDAWUNG</t>
  </si>
  <si>
    <t>GUNUNGJATI</t>
  </si>
  <si>
    <t>KAPETAKAN</t>
  </si>
  <si>
    <t>KLANGENAN</t>
  </si>
  <si>
    <t>ARJAWINANGUN</t>
  </si>
  <si>
    <t>PANGURAGAN</t>
  </si>
  <si>
    <t>CIWARINGIN</t>
  </si>
  <si>
    <t>SUSUKAN</t>
  </si>
  <si>
    <t>GEGESIK</t>
  </si>
  <si>
    <t>KALIWEDI</t>
  </si>
  <si>
    <t>GEBANG</t>
  </si>
  <si>
    <t>DEPOK</t>
  </si>
  <si>
    <t>PASALEMAN</t>
  </si>
  <si>
    <t>PABUARAN</t>
  </si>
  <si>
    <t>KARANGWARENG</t>
  </si>
  <si>
    <t>TENGAH TANI</t>
  </si>
  <si>
    <t>PLERED</t>
  </si>
  <si>
    <t>GEMPOL</t>
  </si>
  <si>
    <t>GREGED</t>
  </si>
  <si>
    <t>SURANENGGALA</t>
  </si>
  <si>
    <t>JAMBLANG</t>
  </si>
  <si>
    <t>Total BOS</t>
  </si>
  <si>
    <t>Rombel</t>
  </si>
  <si>
    <t>Variabel</t>
  </si>
  <si>
    <t>Jenis</t>
  </si>
  <si>
    <t>Keterangan</t>
  </si>
  <si>
    <t>Jumlah siswa</t>
  </si>
  <si>
    <t>benefit</t>
  </si>
  <si>
    <t>Semakin besar → kebutuhan cenderung semakin tinggi</t>
  </si>
  <si>
    <t>cost</t>
  </si>
  <si>
    <t>Dana sarpras</t>
  </si>
  <si>
    <t>Semakin besar alokasi → kemampuan pemenuhan sarpras semakin besar</t>
  </si>
  <si>
    <t>Semakin banyak → kebutuhan sarpras cenderung semakin tinggi</t>
  </si>
  <si>
    <t>Semakin banyak → ketersediaan fasilitas semakin baik</t>
  </si>
  <si>
    <t>Tempat ibadah</t>
  </si>
  <si>
    <t>Semakin banyak → kondisi sarpras semakin baik</t>
  </si>
  <si>
    <t>Rusak ringan</t>
  </si>
  <si>
    <t>Semakin banyak → kebutuhan perbaikan semakin tinggi</t>
  </si>
  <si>
    <t>Rusak berat</t>
  </si>
  <si>
    <t>Maksimum</t>
  </si>
  <si>
    <t>Minimum</t>
  </si>
  <si>
    <t>Tabel Hasil Nilai Normalisasi</t>
  </si>
  <si>
    <t>C1 Sumber</t>
  </si>
  <si>
    <t>C2 Gegesik</t>
  </si>
  <si>
    <t>C3 Pangenan</t>
  </si>
  <si>
    <t>PERHITUNGAN JARAK EUCLIDEAN ITERASI 1</t>
  </si>
  <si>
    <t>Nama Kecamatan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</si>
  <si>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</si>
  <si>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</si>
  <si>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</si>
  <si>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</si>
  <si>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</si>
  <si>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</si>
  <si>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</si>
  <si>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</si>
  <si>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</si>
  <si>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</si>
  <si>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</si>
  <si>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Jarak C1</t>
  </si>
  <si>
    <t>Jarak C2</t>
  </si>
  <si>
    <t>Jarak C3</t>
  </si>
  <si>
    <t>Cluster</t>
  </si>
  <si>
    <t>C1</t>
  </si>
  <si>
    <t>C2</t>
  </si>
  <si>
    <t>C3</t>
  </si>
  <si>
    <t>CENTROID BARU HASIL ITERASI 1</t>
  </si>
  <si>
    <t>C1 Baru</t>
  </si>
  <si>
    <t>C2 Baru</t>
  </si>
  <si>
    <t>C3 Baru</t>
  </si>
  <si>
    <t>Jumlah anggota</t>
  </si>
  <si>
    <t>PERHITUNGAN RATA-RATA CENTROID BARU</t>
  </si>
  <si>
    <t>Cluster Iterasi 1</t>
  </si>
  <si>
    <t>PERHITUNGAN JARAK EUCLIDEAN ITERASI 2</t>
  </si>
  <si>
    <t>Menggunakan centroid baru hasil Iterasi 1</t>
  </si>
  <si>
    <t>RINGKASAN ITERASI</t>
  </si>
  <si>
    <t>Jumlah anggota C1</t>
  </si>
  <si>
    <t>Jumlah anggota C2</t>
  </si>
  <si>
    <t>Jumlah anggota C3</t>
  </si>
  <si>
    <t>CENTROID HASIL ITERASI 2 (NILAI PENUH)</t>
  </si>
  <si>
    <t>Centroid disimpan dengan nilai penuh dan tidak dibulatkan sebelum perhitungan jarak.</t>
  </si>
  <si>
    <t>C1 Iterasi 2</t>
  </si>
  <si>
    <t>C2 Iterasi 2</t>
  </si>
  <si>
    <t>C3 Iterasi 2</t>
  </si>
  <si>
    <t>Tampilan laporan</t>
  </si>
  <si>
    <t>Gunakan format 0,0000; nilai internal tidak dibulatkan.</t>
  </si>
  <si>
    <t>PERHITUNGAN JARAK EUCLIDEAN ITERASI 3</t>
  </si>
  <si>
    <t>Audit (numerik exact)</t>
  </si>
  <si>
    <t>Menggunakan centroid Iterasi 2 dengan nilai penuh (tanpa pembulatan internal).</t>
  </si>
  <si>
    <t>Hasil Numerik Audit</t>
  </si>
  <si>
    <t>C2 Audit</t>
  </si>
  <si>
    <t>C3 Audit</t>
  </si>
  <si>
    <t>Cluster Audit</t>
  </si>
  <si>
    <t>RUMUS CENTROID ITERASI 2 (REPRODUKSI)</t>
  </si>
  <si>
    <t>Rumus C1</t>
  </si>
  <si>
    <t>Rumus C2</t>
  </si>
  <si>
    <t>Rumus C3</t>
  </si>
  <si>
    <t>Kecamatan</t>
  </si>
  <si>
    <t>Anggota Klaster</t>
  </si>
  <si>
    <t>CENTROID ITERASI 2 - NILAI EXACT YANG DIPAKAI PADA JARAK ITERASI 3</t>
  </si>
  <si>
    <t>CONTOH WALED - JARAK ITERASI 3</t>
  </si>
  <si>
    <t>Jarak Waled ke C1</t>
  </si>
  <si>
    <t>Jarak Waled ke C2</t>
  </si>
  <si>
    <t>Jarak Waled ke C3</t>
  </si>
  <si>
    <t>CENTROID ITERASI 2 YANG DIGUNAKAN PADA ITERASI 3</t>
  </si>
  <si>
    <t>CENTROID ITERASI 3</t>
  </si>
  <si>
    <t>Centroid 4 desimal yang digunakan untuk menghitung Jarak Iterasi 4.</t>
  </si>
  <si>
    <t>PERHITUNGAN JARAK EUCLIDEAN ITERASI 4</t>
  </si>
  <si>
    <t>Menggunakan centroid Iterasi 3 yang telah ditetapkan pada 4 desimal.</t>
  </si>
  <si>
    <t>Audit C1</t>
  </si>
  <si>
    <t>Audit C2</t>
  </si>
  <si>
    <t>Audit C3</t>
  </si>
  <si>
    <t>Audit Cluster</t>
  </si>
  <si>
    <t>Iterasi 3</t>
  </si>
  <si>
    <t>Iterasi 4</t>
  </si>
  <si>
    <t>Berubah?</t>
  </si>
  <si>
    <t>TIDAK</t>
  </si>
  <si>
    <t>Tetap</t>
  </si>
  <si>
    <t>Jumlah perubahan</t>
  </si>
  <si>
    <t>Kesimpulan</t>
  </si>
  <si>
    <t>BERHENTI</t>
  </si>
  <si>
    <t>CONTOH PERHITUNGAN WALED – ITERASI 4</t>
  </si>
  <si>
    <t>CENTROID AKHIR ITERASI 4</t>
  </si>
  <si>
    <t>Karena tidak ada perubahan anggota pada Iterasi 3 → Iterasi 4, centroid Iterasi 4 sama dengan centroid Iterasi 3.</t>
  </si>
  <si>
    <t>Centroid akhir</t>
  </si>
  <si>
    <t>Sama dengan Iterasi 3</t>
  </si>
  <si>
    <t>KESIMPULAN HASIL PROSES K-MEANS</t>
  </si>
  <si>
    <t>Tahap</t>
  </si>
  <si>
    <t>Hasil</t>
  </si>
  <si>
    <t>Klaster akhir</t>
  </si>
  <si>
    <t>Jumlah data</t>
  </si>
  <si>
    <t>Anggota akhir</t>
  </si>
  <si>
    <t>Jumlah klaster</t>
  </si>
  <si>
    <t>Iterasi 1</t>
  </si>
  <si>
    <t>C1 = 1, C2 = 30, C3 = 9</t>
  </si>
  <si>
    <t>Iterasi 2</t>
  </si>
  <si>
    <t>C1 = 2, C2 = 25, C3 = 13</t>
  </si>
  <si>
    <t>C1 = 2, C2 = 23, C3 = 15</t>
  </si>
  <si>
    <t>Perubahan Iterasi 1 → 2</t>
  </si>
  <si>
    <t>Perubahan Iterasi 2 → 3</t>
  </si>
  <si>
    <t>Perubahan Iterasi 3 → 4</t>
  </si>
  <si>
    <t>Kondisi berhenti</t>
  </si>
  <si>
    <t>TERPENUHI</t>
  </si>
  <si>
    <t>Iterasi akhir</t>
  </si>
  <si>
    <t>Kesimpulan: proses K-Means berhenti pada Iterasi 4 karena tidak terdapat perubahan anggota klaster antara Iterasi 3 dan Iterasi 4 (ΔA = 0).</t>
  </si>
  <si>
    <t>Hasil akhir pengelompokan terdiri dari C1 sebanyak 2 kecamatan, C2 sebanyak 23 kecamatan, dan C3 sebanyak 15 kecamatan. Pemberian label kebutuhan tinggi, sedang, dan rendah dilakukan setelah tahap ini berdasarkan karakteristik centroid akhir.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</si>
</sst>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Rp&quot;#,##0.00"/>
    <numFmt numFmtId="165" formatCode="&quot;Rp&quot;#,##0"/>
    <numFmt numFmtId="166" formatCode="#,##0;[Red]#,##0"/>
    <numFmt numFmtId="167" formatCode="0;[Red]0"/>
    <numFmt numFmtId="168" formatCode="0.0000"/>
    <numFmt numFmtId="169" formatCode="0.0000000000"/>
  </numFmts>
  <fonts count="16" x14ac:knownFonts="1">
    <font>
      <sz val="11"/>
      <color theme="1"/>
      <name val="Calibri"/>
    </font>
    <font>
      <b/>
      <sz val="11"/>
      <name val="Calibri"/>
      <family val="2"/>
    </font>
    <font>
      <sz val="10"/>
      <name val="Arial"/>
      <family val="2"/>
    </font>
    <font>
      <sz val="16"/>
      <color theme="1"/>
      <name val="Calibri"/>
      <family val="2"/>
    </font>
    <font>
      <b/>
      <sz val="16"/>
      <name val="Calibri"/>
      <family val="2"/>
    </font>
    <font>
      <b/>
      <sz val="11"/>
      <color theme="1"/>
      <name val="Calibri"/>
      <family val="2"/>
    </font>
    <font>
      <sz val="12"/>
      <color theme="1"/>
      <name val="Calibri"/>
      <family val="2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sz val="11"/>
      <name val="Times New Roman"/>
      <family val="1"/>
    </font>
    <font>
      <b/>
      <sz val="11"/>
      <name val="Calibri"/>
      <family val="2"/>
    </font>
    <font>
      <b/>
      <sz val="12"/>
      <name val="Calibri"/>
      <family val="2"/>
    </font>
    <font>
      <b/>
      <sz val="12"/>
      <color theme="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4"/>
      <color rgb="FFFFFFFF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0.79992065187536243"/>
        <bgColor indexed="65"/>
      </patternFill>
    </fill>
    <fill>
      <patternFill patternType="solid">
        <fgColor rgb="FFFFC000"/>
      </patternFill>
    </fill>
    <fill>
      <patternFill patternType="solid">
        <fgColor theme="3" tint="0.59993285927915285"/>
        <bgColor indexed="65"/>
      </patternFill>
    </fill>
    <fill>
      <patternFill patternType="solid">
        <fgColor rgb="FFFFFF00"/>
      </patternFill>
    </fill>
    <fill>
      <patternFill patternType="solid">
        <fgColor rgb="FFB4C6E7"/>
      </patternFill>
    </fill>
    <fill>
      <patternFill patternType="solid">
        <fgColor rgb="FFFFFF00"/>
      </patternFill>
    </fill>
    <fill>
      <patternFill patternType="solid">
        <fgColor rgb="FF92D050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08">
    <xf numFmtId="0" fontId="0" fillId="0" borderId="0" xfId="0"/>
    <xf numFmtId="49" fontId="0" fillId="0" borderId="1" xfId="0" applyNumberFormat="1" applyBorder="1" applyAlignment="1">
      <alignment horizontal="center" vertical="top"/>
    </xf>
    <xf numFmtId="0" fontId="0" fillId="0" borderId="1" xfId="0" applyBorder="1" applyAlignment="1">
      <alignment vertical="top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vertical="top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top"/>
    </xf>
    <xf numFmtId="3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64" fontId="0" fillId="0" borderId="1" xfId="0" applyNumberFormat="1" applyBorder="1" applyAlignment="1">
      <alignment horizontal="center" vertical="top"/>
    </xf>
    <xf numFmtId="165" fontId="0" fillId="0" borderId="1" xfId="0" applyNumberFormat="1" applyBorder="1" applyAlignment="1">
      <alignment horizontal="right" vertical="top"/>
    </xf>
    <xf numFmtId="165" fontId="0" fillId="0" borderId="3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top"/>
    </xf>
    <xf numFmtId="0" fontId="0" fillId="3" borderId="1" xfId="0" applyFill="1" applyBorder="1" applyAlignment="1">
      <alignment horizontal="center" vertical="center"/>
    </xf>
    <xf numFmtId="165" fontId="0" fillId="0" borderId="1" xfId="0" applyNumberFormat="1" applyBorder="1" applyAlignment="1">
      <alignment horizontal="left" vertical="center"/>
    </xf>
    <xf numFmtId="165" fontId="0" fillId="0" borderId="1" xfId="0" applyNumberFormat="1" applyBorder="1" applyAlignment="1">
      <alignment horizontal="left" vertical="top"/>
    </xf>
    <xf numFmtId="0" fontId="0" fillId="0" borderId="1" xfId="0" applyBorder="1"/>
    <xf numFmtId="49" fontId="0" fillId="0" borderId="5" xfId="0" applyNumberFormat="1" applyBorder="1" applyAlignment="1">
      <alignment horizontal="center" vertical="top"/>
    </xf>
    <xf numFmtId="0" fontId="0" fillId="0" borderId="5" xfId="0" applyBorder="1" applyAlignment="1">
      <alignment vertical="top"/>
    </xf>
    <xf numFmtId="0" fontId="0" fillId="0" borderId="5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top"/>
    </xf>
    <xf numFmtId="165" fontId="0" fillId="0" borderId="0" xfId="0" applyNumberFormat="1" applyAlignment="1">
      <alignment horizontal="center" vertical="top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3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6" fontId="0" fillId="5" borderId="1" xfId="0" applyNumberFormat="1" applyFill="1" applyBorder="1" applyAlignment="1">
      <alignment horizontal="center" vertical="center"/>
    </xf>
    <xf numFmtId="167" fontId="0" fillId="5" borderId="1" xfId="0" applyNumberFormat="1" applyFill="1" applyBorder="1" applyAlignment="1">
      <alignment horizontal="center"/>
    </xf>
    <xf numFmtId="165" fontId="0" fillId="5" borderId="1" xfId="0" applyNumberFormat="1" applyFill="1" applyBorder="1" applyAlignment="1">
      <alignment horizontal="center"/>
    </xf>
    <xf numFmtId="3" fontId="0" fillId="5" borderId="1" xfId="0" applyNumberFormat="1" applyFill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5" fillId="5" borderId="1" xfId="0" applyFont="1" applyFill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165" fontId="6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5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168" fontId="0" fillId="0" borderId="1" xfId="0" applyNumberFormat="1" applyBorder="1" applyAlignment="1">
      <alignment horizontal="left" vertical="top" wrapText="1"/>
    </xf>
    <xf numFmtId="0" fontId="7" fillId="6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justify" vertical="center" wrapText="1"/>
    </xf>
    <xf numFmtId="0" fontId="9" fillId="0" borderId="1" xfId="0" applyFont="1" applyBorder="1" applyAlignment="1">
      <alignment horizontal="left" vertical="center" wrapText="1"/>
    </xf>
    <xf numFmtId="0" fontId="10" fillId="0" borderId="0" xfId="0" applyFont="1" applyAlignment="1">
      <alignment vertical="center"/>
    </xf>
    <xf numFmtId="0" fontId="0" fillId="0" borderId="0" xfId="0" applyAlignment="1">
      <alignment vertical="center"/>
    </xf>
    <xf numFmtId="168" fontId="0" fillId="0" borderId="0" xfId="0" applyNumberFormat="1" applyAlignment="1">
      <alignment vertical="center"/>
    </xf>
    <xf numFmtId="0" fontId="11" fillId="0" borderId="0" xfId="0" applyFont="1"/>
    <xf numFmtId="0" fontId="0" fillId="0" borderId="9" xfId="0" applyBorder="1" applyAlignment="1">
      <alignment vertical="center"/>
    </xf>
    <xf numFmtId="0" fontId="5" fillId="7" borderId="9" xfId="0" applyFont="1" applyFill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168" fontId="0" fillId="0" borderId="9" xfId="0" applyNumberFormat="1" applyBorder="1" applyAlignment="1">
      <alignment horizontal="center" vertical="center"/>
    </xf>
    <xf numFmtId="0" fontId="11" fillId="7" borderId="9" xfId="0" applyFont="1" applyFill="1" applyBorder="1" applyAlignment="1">
      <alignment horizontal="center" vertical="center"/>
    </xf>
    <xf numFmtId="0" fontId="6" fillId="0" borderId="9" xfId="0" applyFont="1" applyBorder="1" applyAlignment="1">
      <alignment vertical="center"/>
    </xf>
    <xf numFmtId="0" fontId="12" fillId="0" borderId="9" xfId="0" applyFont="1" applyBorder="1" applyAlignment="1">
      <alignment horizontal="center" vertical="center"/>
    </xf>
    <xf numFmtId="168" fontId="6" fillId="0" borderId="9" xfId="0" applyNumberFormat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3" fillId="0" borderId="0" xfId="0" applyFont="1" applyAlignment="1">
      <alignment vertical="center"/>
    </xf>
    <xf numFmtId="168" fontId="13" fillId="0" borderId="0" xfId="0" applyNumberFormat="1" applyFont="1" applyAlignment="1">
      <alignment vertical="center"/>
    </xf>
    <xf numFmtId="0" fontId="6" fillId="7" borderId="9" xfId="0" applyFont="1" applyFill="1" applyBorder="1" applyAlignment="1">
      <alignment horizontal="center" vertical="center"/>
    </xf>
    <xf numFmtId="168" fontId="6" fillId="0" borderId="9" xfId="0" applyNumberFormat="1" applyFont="1" applyBorder="1" applyAlignment="1">
      <alignment vertical="center"/>
    </xf>
    <xf numFmtId="0" fontId="0" fillId="8" borderId="9" xfId="0" applyFill="1" applyBorder="1" applyAlignment="1">
      <alignment vertical="center"/>
    </xf>
    <xf numFmtId="1" fontId="0" fillId="8" borderId="9" xfId="0" applyNumberFormat="1" applyFill="1" applyBorder="1" applyAlignment="1">
      <alignment horizontal="center" vertical="center"/>
    </xf>
    <xf numFmtId="0" fontId="13" fillId="7" borderId="9" xfId="0" applyFont="1" applyFill="1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0" fontId="11" fillId="7" borderId="9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168" fontId="0" fillId="0" borderId="9" xfId="0" applyNumberForma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14" fillId="0" borderId="0" xfId="0" applyFont="1" applyAlignment="1">
      <alignment vertical="center"/>
    </xf>
    <xf numFmtId="169" fontId="0" fillId="0" borderId="0" xfId="0" applyNumberFormat="1" applyAlignment="1">
      <alignment vertical="center"/>
    </xf>
    <xf numFmtId="0" fontId="14" fillId="0" borderId="0" xfId="0" applyFont="1"/>
    <xf numFmtId="168" fontId="14" fillId="0" borderId="0" xfId="0" applyNumberFormat="1" applyFont="1" applyAlignment="1">
      <alignment vertical="center"/>
    </xf>
    <xf numFmtId="168" fontId="0" fillId="0" borderId="0" xfId="0" applyNumberFormat="1"/>
    <xf numFmtId="0" fontId="14" fillId="0" borderId="0" xfId="0" applyFont="1" applyAlignment="1">
      <alignment vertical="center" wrapText="1"/>
    </xf>
    <xf numFmtId="168" fontId="0" fillId="0" borderId="0" xfId="0" applyNumberFormat="1" applyAlignment="1">
      <alignment vertical="center" wrapText="1"/>
    </xf>
    <xf numFmtId="0" fontId="5" fillId="10" borderId="0" xfId="0" applyFont="1" applyFill="1" applyAlignment="1">
      <alignment horizontal="center" vertical="center" wrapText="1"/>
    </xf>
    <xf numFmtId="0" fontId="5" fillId="10" borderId="0" xfId="0" applyFont="1" applyFill="1" applyAlignment="1">
      <alignment vertical="center" wrapText="1"/>
    </xf>
    <xf numFmtId="0" fontId="5" fillId="10" borderId="0" xfId="0" applyFont="1" applyFill="1" applyAlignment="1">
      <alignment vertical="center"/>
    </xf>
    <xf numFmtId="0" fontId="15" fillId="9" borderId="0" xfId="0" applyFont="1" applyFill="1" applyAlignment="1">
      <alignment horizontal="center" vertical="center"/>
    </xf>
    <xf numFmtId="0" fontId="5" fillId="11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49" fontId="0" fillId="5" borderId="9" xfId="0" applyNumberFormat="1" applyFill="1" applyBorder="1" applyAlignment="1">
      <alignment horizontal="center" vertical="top"/>
    </xf>
    <xf numFmtId="0" fontId="0" fillId="0" borderId="4" xfId="0" applyBorder="1"/>
    <xf numFmtId="0" fontId="0" fillId="2" borderId="0" xfId="0" applyFill="1" applyAlignment="1">
      <alignment horizontal="center"/>
    </xf>
    <xf numFmtId="0" fontId="0" fillId="0" borderId="0" xfId="0"/>
    <xf numFmtId="0" fontId="0" fillId="5" borderId="9" xfId="0" applyFill="1" applyBorder="1" applyAlignment="1">
      <alignment horizontal="center"/>
    </xf>
    <xf numFmtId="0" fontId="0" fillId="0" borderId="7" xfId="0" applyBorder="1"/>
    <xf numFmtId="0" fontId="0" fillId="4" borderId="0" xfId="0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6" xfId="0" applyBorder="1"/>
    <xf numFmtId="0" fontId="0" fillId="0" borderId="2" xfId="0" applyBorder="1"/>
    <xf numFmtId="0" fontId="0" fillId="5" borderId="9" xfId="0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5" xfId="0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8" xfId="0" applyBorder="1"/>
    <xf numFmtId="0" fontId="10" fillId="0" borderId="0" xfId="0" applyFont="1" applyAlignment="1">
      <alignment horizontal="center" vertical="center"/>
    </xf>
    <xf numFmtId="0" fontId="15" fillId="9" borderId="0" xfId="0" applyFont="1" applyFill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GU33"/>
  <sheetViews>
    <sheetView workbookViewId="0"/>
  </sheetViews>
  <sheetFormatPr defaultRowHeight="15" x14ac:dyDescent="0.25"/>
  <cols>
    <col min="2" max="2" width="4" customWidth="1"/>
    <col min="3" max="3" width="4.7109375" customWidth="1"/>
    <col min="4" max="4" width="17.28515625" customWidth="1"/>
    <col min="5" max="5" width="33.140625" customWidth="1"/>
    <col min="6" max="6" width="19" customWidth="1"/>
    <col min="7" max="7" width="13" customWidth="1"/>
    <col min="8" max="8" width="18.28515625" customWidth="1"/>
    <col min="9" max="9" width="14.85546875" customWidth="1"/>
    <col min="10" max="10" width="31.5703125" customWidth="1"/>
    <col min="11" max="11" width="17.85546875" customWidth="1"/>
    <col min="12" max="12" width="13.42578125" customWidth="1"/>
    <col min="13" max="13" width="17.5703125" customWidth="1"/>
    <col min="14" max="14" width="13.85546875" customWidth="1"/>
    <col min="15" max="15" width="34.42578125" customWidth="1"/>
    <col min="16" max="16" width="18.7109375" customWidth="1"/>
    <col min="17" max="17" width="14" customWidth="1"/>
    <col min="18" max="18" width="17.7109375" customWidth="1"/>
    <col min="19" max="19" width="12.7109375" customWidth="1"/>
    <col min="20" max="20" width="27.42578125" customWidth="1"/>
    <col min="21" max="21" width="18.28515625" customWidth="1"/>
    <col min="22" max="22" width="13.5703125" customWidth="1"/>
    <col min="23" max="23" width="19.85546875" customWidth="1"/>
    <col min="24" max="24" width="13" customWidth="1"/>
    <col min="25" max="25" width="34.140625" customWidth="1"/>
    <col min="26" max="26" width="18.42578125" customWidth="1"/>
    <col min="27" max="27" width="13.28515625" customWidth="1"/>
    <col min="28" max="28" width="16.5703125" customWidth="1"/>
    <col min="29" max="29" width="12.7109375" customWidth="1"/>
    <col min="30" max="30" width="33.28515625" customWidth="1"/>
    <col min="31" max="31" width="17.85546875" customWidth="1"/>
    <col min="32" max="32" width="13.140625" customWidth="1"/>
    <col min="33" max="33" width="16.28515625" customWidth="1"/>
    <col min="34" max="34" width="11.7109375" customWidth="1"/>
    <col min="35" max="35" width="31.28515625" customWidth="1"/>
    <col min="36" max="36" width="17" customWidth="1"/>
    <col min="37" max="37" width="13.28515625" customWidth="1"/>
    <col min="38" max="38" width="18.42578125" customWidth="1"/>
    <col min="39" max="39" width="12.28515625" customWidth="1"/>
    <col min="40" max="40" width="33.42578125" customWidth="1"/>
    <col min="41" max="41" width="17.5703125" customWidth="1"/>
    <col min="42" max="42" width="13" customWidth="1"/>
    <col min="43" max="43" width="17.42578125" customWidth="1"/>
    <col min="44" max="44" width="12.28515625" customWidth="1"/>
    <col min="45" max="45" width="35.85546875" customWidth="1"/>
    <col min="46" max="46" width="17.85546875" customWidth="1"/>
    <col min="47" max="47" width="13.42578125" customWidth="1"/>
    <col min="48" max="48" width="17.28515625" customWidth="1"/>
    <col min="49" max="49" width="13.28515625" customWidth="1"/>
    <col min="50" max="50" width="31.7109375" customWidth="1"/>
    <col min="51" max="51" width="18" customWidth="1"/>
    <col min="52" max="52" width="14.42578125" customWidth="1"/>
    <col min="53" max="53" width="15.42578125" customWidth="1"/>
    <col min="54" max="54" width="12.140625" customWidth="1"/>
    <col min="55" max="55" width="31.7109375" customWidth="1"/>
    <col min="56" max="56" width="17.7109375" customWidth="1"/>
    <col min="57" max="57" width="12.7109375" customWidth="1"/>
    <col min="58" max="58" width="15.140625" customWidth="1"/>
    <col min="59" max="59" width="13.140625" customWidth="1"/>
    <col min="60" max="60" width="34.42578125" customWidth="1"/>
    <col min="61" max="61" width="16.42578125" customWidth="1"/>
    <col min="62" max="62" width="13" customWidth="1"/>
    <col min="63" max="63" width="15" customWidth="1"/>
    <col min="64" max="64" width="12.85546875" customWidth="1"/>
    <col min="65" max="65" width="27.5703125" customWidth="1"/>
    <col min="66" max="66" width="18.140625" customWidth="1"/>
    <col min="67" max="67" width="14.28515625" customWidth="1"/>
    <col min="68" max="68" width="15.140625" customWidth="1"/>
    <col min="69" max="69" width="12.42578125" customWidth="1"/>
    <col min="70" max="70" width="28.28515625" customWidth="1"/>
    <col min="71" max="71" width="17.85546875" customWidth="1"/>
    <col min="72" max="72" width="14.28515625" customWidth="1"/>
    <col min="73" max="73" width="15.140625" customWidth="1"/>
    <col min="74" max="74" width="12.5703125" customWidth="1"/>
    <col min="75" max="75" width="36.28515625" customWidth="1"/>
    <col min="76" max="76" width="17.85546875" customWidth="1"/>
    <col min="77" max="77" width="13.85546875" customWidth="1"/>
    <col min="78" max="78" width="15.140625" customWidth="1"/>
    <col min="79" max="79" width="13.85546875" customWidth="1"/>
    <col min="80" max="80" width="29.42578125" customWidth="1"/>
    <col min="81" max="81" width="17.85546875" customWidth="1"/>
    <col min="82" max="82" width="14.7109375" customWidth="1"/>
    <col min="83" max="83" width="16.140625" customWidth="1"/>
    <col min="84" max="84" width="12.85546875" customWidth="1"/>
    <col min="85" max="85" width="31" customWidth="1"/>
    <col min="86" max="86" width="17.7109375" customWidth="1"/>
    <col min="87" max="87" width="13.85546875" customWidth="1"/>
    <col min="88" max="88" width="15.140625" customWidth="1"/>
    <col min="89" max="89" width="12.85546875" customWidth="1"/>
    <col min="90" max="90" width="30.7109375" customWidth="1"/>
    <col min="91" max="91" width="16.85546875" customWidth="1"/>
    <col min="92" max="92" width="14.42578125" customWidth="1"/>
    <col min="93" max="93" width="16.7109375" customWidth="1"/>
    <col min="94" max="94" width="13.85546875" customWidth="1"/>
    <col min="95" max="95" width="29.85546875" customWidth="1"/>
    <col min="96" max="96" width="17.85546875" customWidth="1"/>
    <col min="97" max="97" width="12.85546875" customWidth="1"/>
    <col min="98" max="98" width="17.140625" customWidth="1"/>
    <col min="99" max="99" width="12.42578125" customWidth="1"/>
    <col min="100" max="100" width="31.28515625" customWidth="1"/>
    <col min="101" max="101" width="17.85546875" customWidth="1"/>
    <col min="102" max="102" width="15.42578125" customWidth="1"/>
    <col min="103" max="103" width="16.140625" customWidth="1"/>
    <col min="104" max="104" width="12.5703125" customWidth="1"/>
    <col min="105" max="105" width="34.140625" customWidth="1"/>
    <col min="106" max="106" width="17.85546875" customWidth="1"/>
    <col min="107" max="107" width="14.85546875" customWidth="1"/>
    <col min="108" max="108" width="17.5703125" customWidth="1"/>
    <col min="109" max="109" width="14" customWidth="1"/>
    <col min="110" max="110" width="30.42578125" customWidth="1"/>
    <col min="111" max="111" width="16.42578125" customWidth="1"/>
    <col min="112" max="112" width="14" customWidth="1"/>
    <col min="113" max="113" width="15.140625" customWidth="1"/>
    <col min="114" max="114" width="12.28515625" customWidth="1"/>
    <col min="115" max="115" width="32.140625" customWidth="1"/>
    <col min="116" max="116" width="18" customWidth="1"/>
    <col min="117" max="117" width="14.85546875" customWidth="1"/>
    <col min="118" max="118" width="17.85546875" customWidth="1"/>
    <col min="119" max="119" width="11.5703125" customWidth="1"/>
    <col min="120" max="120" width="36" customWidth="1"/>
    <col min="121" max="121" width="17" customWidth="1"/>
    <col min="122" max="122" width="13.28515625" customWidth="1"/>
    <col min="123" max="123" width="17.7109375" customWidth="1"/>
    <col min="124" max="124" width="12.7109375" customWidth="1"/>
    <col min="125" max="125" width="36.140625" customWidth="1"/>
    <col min="126" max="126" width="18.28515625" customWidth="1"/>
    <col min="127" max="127" width="13.5703125" customWidth="1"/>
    <col min="128" max="128" width="16" customWidth="1"/>
    <col min="129" max="129" width="11.7109375" customWidth="1"/>
    <col min="130" max="130" width="31.28515625" customWidth="1"/>
    <col min="131" max="131" width="17.85546875" customWidth="1"/>
    <col min="132" max="132" width="13.42578125" customWidth="1"/>
    <col min="133" max="133" width="18.42578125" customWidth="1"/>
    <col min="134" max="134" width="12" customWidth="1"/>
    <col min="135" max="135" width="27.5703125" customWidth="1"/>
    <col min="136" max="136" width="18.85546875" customWidth="1"/>
    <col min="138" max="138" width="17" customWidth="1"/>
    <col min="139" max="139" width="12" customWidth="1"/>
    <col min="140" max="140" width="38.7109375" customWidth="1"/>
    <col min="141" max="141" width="18.5703125" customWidth="1"/>
    <col min="142" max="142" width="13.5703125" customWidth="1"/>
    <col min="143" max="143" width="15.7109375" customWidth="1"/>
    <col min="144" max="144" width="12.140625" customWidth="1"/>
    <col min="145" max="145" width="33.7109375" customWidth="1"/>
    <col min="146" max="146" width="18.42578125" customWidth="1"/>
    <col min="147" max="147" width="13.85546875" customWidth="1"/>
    <col min="148" max="148" width="15" customWidth="1"/>
    <col min="149" max="149" width="11.28515625" customWidth="1"/>
    <col min="150" max="150" width="27.42578125" customWidth="1"/>
    <col min="151" max="151" width="19.28515625" customWidth="1"/>
    <col min="152" max="152" width="14.42578125" customWidth="1"/>
    <col min="153" max="153" width="15.42578125" customWidth="1"/>
    <col min="154" max="154" width="12.7109375" customWidth="1"/>
    <col min="155" max="155" width="29.42578125" customWidth="1"/>
    <col min="156" max="156" width="20" customWidth="1"/>
    <col min="157" max="157" width="13.85546875" customWidth="1"/>
    <col min="158" max="158" width="17.85546875" customWidth="1"/>
    <col min="159" max="159" width="12.28515625" customWidth="1"/>
    <col min="160" max="160" width="32.7109375" customWidth="1"/>
    <col min="161" max="161" width="16.140625" customWidth="1"/>
    <col min="162" max="162" width="13.140625" customWidth="1"/>
    <col min="163" max="163" width="14.140625" customWidth="1"/>
    <col min="164" max="164" width="11" customWidth="1"/>
    <col min="165" max="165" width="29.7109375" customWidth="1"/>
    <col min="166" max="166" width="17.28515625" customWidth="1"/>
    <col min="167" max="167" width="14.42578125" customWidth="1"/>
    <col min="168" max="168" width="19.5703125" customWidth="1"/>
    <col min="169" max="169" width="11.7109375" customWidth="1"/>
    <col min="170" max="170" width="35" customWidth="1"/>
    <col min="171" max="171" width="15" customWidth="1"/>
    <col min="172" max="172" width="13.140625" customWidth="1"/>
    <col min="173" max="173" width="15.5703125" customWidth="1"/>
    <col min="174" max="174" width="12.85546875" customWidth="1"/>
    <col min="175" max="175" width="31.5703125" customWidth="1"/>
    <col min="176" max="176" width="17.28515625" customWidth="1"/>
    <col min="177" max="177" width="13.85546875" customWidth="1"/>
    <col min="178" max="178" width="18.7109375" customWidth="1"/>
    <col min="179" max="179" width="12.140625" customWidth="1"/>
    <col min="180" max="180" width="32" customWidth="1"/>
    <col min="181" max="181" width="15.85546875" customWidth="1"/>
    <col min="182" max="182" width="12.85546875" customWidth="1"/>
    <col min="183" max="183" width="14.42578125" customWidth="1"/>
    <col min="184" max="184" width="10.85546875" customWidth="1"/>
    <col min="185" max="185" width="31.28515625" customWidth="1"/>
    <col min="186" max="186" width="15.5703125" customWidth="1"/>
    <col min="187" max="187" width="12.85546875" customWidth="1"/>
    <col min="188" max="188" width="14.42578125" customWidth="1"/>
    <col min="189" max="189" width="11.140625" customWidth="1"/>
    <col min="190" max="190" width="30.85546875" customWidth="1"/>
    <col min="191" max="191" width="16.7109375" customWidth="1"/>
    <col min="192" max="192" width="13.85546875" customWidth="1"/>
    <col min="193" max="193" width="14.42578125" customWidth="1"/>
    <col min="194" max="194" width="12.140625" customWidth="1"/>
    <col min="195" max="195" width="31.140625" customWidth="1"/>
    <col min="196" max="196" width="16.28515625" customWidth="1"/>
    <col min="197" max="197" width="14" customWidth="1"/>
    <col min="198" max="198" width="15.28515625" customWidth="1"/>
    <col min="199" max="199" width="11.42578125" customWidth="1"/>
    <col min="200" max="200" width="34.85546875" customWidth="1"/>
    <col min="201" max="201" width="15.7109375" customWidth="1"/>
    <col min="202" max="202" width="9.42578125" customWidth="1"/>
    <col min="203" max="203" width="16.7109375" customWidth="1"/>
  </cols>
  <sheetData>
    <row r="1" spans="3:203" ht="21" customHeight="1" x14ac:dyDescent="0.25">
      <c r="C1" s="95" t="s">
        <v>0</v>
      </c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  <c r="AJ1" s="91"/>
      <c r="AK1" s="91"/>
      <c r="AL1" s="91"/>
      <c r="AM1" s="91"/>
      <c r="AN1" s="91"/>
      <c r="AO1" s="91"/>
      <c r="AP1" s="91"/>
      <c r="AQ1" s="91"/>
      <c r="AR1" s="91"/>
      <c r="AS1" s="91"/>
      <c r="AT1" s="91"/>
      <c r="AU1" s="91"/>
      <c r="AV1" s="91"/>
      <c r="AW1" s="91"/>
      <c r="AX1" s="91"/>
      <c r="AY1" s="91"/>
      <c r="AZ1" s="91"/>
      <c r="BA1" s="91"/>
      <c r="BB1" s="91"/>
      <c r="BC1" s="91"/>
      <c r="BD1" s="91"/>
      <c r="BE1" s="91"/>
      <c r="BF1" s="91"/>
      <c r="BG1" s="91"/>
      <c r="BH1" s="91"/>
      <c r="BI1" s="91"/>
      <c r="BJ1" s="91"/>
      <c r="BK1" s="91"/>
      <c r="BL1" s="91"/>
      <c r="BM1" s="91"/>
      <c r="BN1" s="91"/>
      <c r="BO1" s="91"/>
      <c r="BP1" s="91"/>
      <c r="BQ1" s="91"/>
      <c r="BR1" s="91"/>
      <c r="BS1" s="91"/>
      <c r="BT1" s="91"/>
      <c r="BU1" s="91"/>
      <c r="BV1" s="91"/>
      <c r="BW1" s="91"/>
      <c r="BX1" s="91"/>
      <c r="BY1" s="91"/>
      <c r="BZ1" s="91"/>
      <c r="CA1" s="91"/>
      <c r="CB1" s="91"/>
      <c r="CC1" s="91"/>
      <c r="CD1" s="91"/>
      <c r="CE1" s="91"/>
      <c r="CF1" s="91"/>
      <c r="CG1" s="91"/>
      <c r="CH1" s="91"/>
      <c r="CI1" s="91"/>
      <c r="CJ1" s="91"/>
      <c r="CK1" s="91"/>
      <c r="CL1" s="91"/>
      <c r="CM1" s="91"/>
      <c r="CN1" s="91"/>
      <c r="CO1" s="91"/>
      <c r="CP1" s="91"/>
      <c r="CQ1" s="91"/>
      <c r="CR1" s="91"/>
      <c r="CS1" s="91"/>
      <c r="CT1" s="91"/>
      <c r="CU1" s="91"/>
      <c r="CV1" s="91"/>
      <c r="CW1" s="91"/>
      <c r="CX1" s="91"/>
      <c r="CY1" s="91"/>
      <c r="CZ1" s="91"/>
      <c r="DA1" s="91"/>
      <c r="DB1" s="91"/>
      <c r="DC1" s="91"/>
      <c r="DD1" s="91"/>
      <c r="DE1" s="91"/>
      <c r="DF1" s="91"/>
      <c r="DG1" s="91"/>
      <c r="DH1" s="91"/>
      <c r="DI1" s="91"/>
      <c r="DJ1" s="91"/>
      <c r="DK1" s="91"/>
      <c r="DL1" s="91"/>
      <c r="DM1" s="91"/>
      <c r="DN1" s="91"/>
      <c r="DO1" s="91"/>
      <c r="DP1" s="91"/>
      <c r="DQ1" s="91"/>
      <c r="DR1" s="91"/>
      <c r="DS1" s="91"/>
      <c r="DT1" s="91"/>
      <c r="DU1" s="91"/>
      <c r="DV1" s="91"/>
      <c r="DW1" s="91"/>
      <c r="DX1" s="91"/>
      <c r="DY1" s="91"/>
      <c r="DZ1" s="91"/>
      <c r="EA1" s="91"/>
      <c r="EB1" s="91"/>
      <c r="EC1" s="91"/>
      <c r="ED1" s="91"/>
      <c r="EE1" s="91"/>
      <c r="EF1" s="91"/>
      <c r="EG1" s="91"/>
      <c r="EH1" s="91"/>
      <c r="EI1" s="91"/>
      <c r="EJ1" s="91"/>
      <c r="EK1" s="91"/>
      <c r="EL1" s="91"/>
      <c r="EM1" s="91"/>
      <c r="EN1" s="91"/>
      <c r="EO1" s="91"/>
      <c r="EP1" s="91"/>
      <c r="EQ1" s="91"/>
      <c r="ER1" s="91"/>
      <c r="ES1" s="91"/>
      <c r="ET1" s="91"/>
      <c r="EU1" s="91"/>
      <c r="EV1" s="91"/>
      <c r="EW1" s="91"/>
      <c r="EX1" s="91"/>
      <c r="EY1" s="91"/>
      <c r="EZ1" s="91"/>
      <c r="FA1" s="91"/>
      <c r="FB1" s="91"/>
      <c r="FC1" s="91"/>
      <c r="FD1" s="91"/>
      <c r="FE1" s="91"/>
      <c r="FF1" s="91"/>
      <c r="FG1" s="91"/>
      <c r="FH1" s="91"/>
      <c r="FI1" s="91"/>
      <c r="FJ1" s="91"/>
      <c r="FK1" s="91"/>
      <c r="FL1" s="91"/>
      <c r="FM1" s="91"/>
      <c r="FN1" s="91"/>
      <c r="FO1" s="91"/>
      <c r="FP1" s="91"/>
      <c r="FQ1" s="91"/>
      <c r="FR1" s="91"/>
      <c r="FS1" s="91"/>
      <c r="FT1" s="91"/>
      <c r="FU1" s="91"/>
      <c r="FV1" s="91"/>
      <c r="FW1" s="91"/>
      <c r="FX1" s="91"/>
      <c r="FY1" s="91"/>
      <c r="FZ1" s="91"/>
      <c r="GA1" s="91"/>
      <c r="GB1" s="91"/>
      <c r="GC1" s="91"/>
      <c r="GD1" s="91"/>
      <c r="GE1" s="91"/>
      <c r="GF1" s="91"/>
      <c r="GG1" s="91"/>
      <c r="GH1" s="91"/>
      <c r="GI1" s="91"/>
      <c r="GJ1" s="91"/>
      <c r="GK1" s="91"/>
      <c r="GL1" s="91"/>
      <c r="GM1" s="91"/>
      <c r="GN1" s="91"/>
      <c r="GO1" s="91"/>
      <c r="GP1" s="91"/>
      <c r="GQ1" s="91"/>
      <c r="GR1" s="91"/>
      <c r="GS1" s="91"/>
      <c r="GT1" s="91"/>
      <c r="GU1" s="91"/>
    </row>
    <row r="3" spans="3:203" x14ac:dyDescent="0.25">
      <c r="C3" s="94" t="s">
        <v>1</v>
      </c>
      <c r="D3" s="90" t="s">
        <v>2</v>
      </c>
      <c r="E3" s="91"/>
      <c r="F3" s="91"/>
      <c r="G3" s="91"/>
      <c r="H3" s="91"/>
      <c r="I3" s="90" t="s">
        <v>3</v>
      </c>
      <c r="J3" s="91"/>
      <c r="K3" s="91"/>
      <c r="L3" s="91"/>
      <c r="M3" s="91"/>
      <c r="N3" s="90" t="s">
        <v>4</v>
      </c>
      <c r="O3" s="91"/>
      <c r="P3" s="91"/>
      <c r="Q3" s="91"/>
      <c r="R3" s="91"/>
      <c r="S3" s="90" t="s">
        <v>5</v>
      </c>
      <c r="T3" s="91"/>
      <c r="U3" s="91"/>
      <c r="V3" s="91"/>
      <c r="W3" s="91"/>
      <c r="X3" s="90" t="s">
        <v>6</v>
      </c>
      <c r="Y3" s="91"/>
      <c r="Z3" s="91"/>
      <c r="AA3" s="91"/>
      <c r="AB3" s="91"/>
      <c r="AC3" s="90" t="s">
        <v>7</v>
      </c>
      <c r="AD3" s="91"/>
      <c r="AE3" s="91"/>
      <c r="AF3" s="91"/>
      <c r="AG3" s="91"/>
      <c r="AH3" s="90" t="s">
        <v>8</v>
      </c>
      <c r="AI3" s="91"/>
      <c r="AJ3" s="91"/>
      <c r="AK3" s="91"/>
      <c r="AL3" s="91"/>
      <c r="AM3" s="90" t="s">
        <v>9</v>
      </c>
      <c r="AN3" s="91"/>
      <c r="AO3" s="91"/>
      <c r="AP3" s="91"/>
      <c r="AQ3" s="91"/>
      <c r="AR3" s="90" t="s">
        <v>10</v>
      </c>
      <c r="AS3" s="91"/>
      <c r="AT3" s="91"/>
      <c r="AU3" s="91"/>
      <c r="AV3" s="91"/>
      <c r="AW3" s="90" t="s">
        <v>11</v>
      </c>
      <c r="AX3" s="91"/>
      <c r="AY3" s="91"/>
      <c r="AZ3" s="91"/>
      <c r="BA3" s="91"/>
      <c r="BB3" s="90" t="s">
        <v>12</v>
      </c>
      <c r="BC3" s="91"/>
      <c r="BD3" s="91"/>
      <c r="BE3" s="91"/>
      <c r="BF3" s="91"/>
      <c r="BG3" s="90" t="s">
        <v>13</v>
      </c>
      <c r="BH3" s="91"/>
      <c r="BI3" s="91"/>
      <c r="BJ3" s="91"/>
      <c r="BK3" s="91"/>
      <c r="BL3" s="90" t="s">
        <v>14</v>
      </c>
      <c r="BM3" s="91"/>
      <c r="BN3" s="91"/>
      <c r="BO3" s="91"/>
      <c r="BP3" s="91"/>
      <c r="BQ3" s="90" t="s">
        <v>15</v>
      </c>
      <c r="BR3" s="91"/>
      <c r="BS3" s="91"/>
      <c r="BT3" s="91"/>
      <c r="BU3" s="91"/>
      <c r="BV3" s="90" t="s">
        <v>16</v>
      </c>
      <c r="BW3" s="91"/>
      <c r="BX3" s="91"/>
      <c r="BY3" s="91"/>
      <c r="BZ3" s="91"/>
      <c r="CA3" s="90" t="s">
        <v>17</v>
      </c>
      <c r="CB3" s="91"/>
      <c r="CC3" s="91"/>
      <c r="CD3" s="91"/>
      <c r="CE3" s="91"/>
      <c r="CF3" s="90" t="s">
        <v>18</v>
      </c>
      <c r="CG3" s="91"/>
      <c r="CH3" s="91"/>
      <c r="CI3" s="91"/>
      <c r="CJ3" s="91"/>
      <c r="CK3" s="90" t="s">
        <v>19</v>
      </c>
      <c r="CL3" s="91"/>
      <c r="CM3" s="91"/>
      <c r="CN3" s="91"/>
      <c r="CO3" s="91"/>
      <c r="CP3" s="90" t="s">
        <v>20</v>
      </c>
      <c r="CQ3" s="91"/>
      <c r="CR3" s="91"/>
      <c r="CS3" s="91"/>
      <c r="CT3" s="91"/>
      <c r="CU3" s="90" t="s">
        <v>21</v>
      </c>
      <c r="CV3" s="91"/>
      <c r="CW3" s="91"/>
      <c r="CX3" s="91"/>
      <c r="CY3" s="91"/>
      <c r="CZ3" s="90" t="s">
        <v>22</v>
      </c>
      <c r="DA3" s="91"/>
      <c r="DB3" s="91"/>
      <c r="DC3" s="91"/>
      <c r="DD3" s="91"/>
      <c r="DE3" s="90" t="s">
        <v>23</v>
      </c>
      <c r="DF3" s="91"/>
      <c r="DG3" s="91"/>
      <c r="DH3" s="91"/>
      <c r="DI3" s="91"/>
      <c r="DJ3" s="90" t="s">
        <v>24</v>
      </c>
      <c r="DK3" s="91"/>
      <c r="DL3" s="91"/>
      <c r="DM3" s="91"/>
      <c r="DN3" s="91"/>
      <c r="DO3" s="90" t="s">
        <v>25</v>
      </c>
      <c r="DP3" s="91"/>
      <c r="DQ3" s="91"/>
      <c r="DR3" s="91"/>
      <c r="DS3" s="91"/>
      <c r="DT3" s="90" t="s">
        <v>26</v>
      </c>
      <c r="DU3" s="91"/>
      <c r="DV3" s="91"/>
      <c r="DW3" s="91"/>
      <c r="DX3" s="91"/>
      <c r="DY3" s="90" t="s">
        <v>27</v>
      </c>
      <c r="DZ3" s="91"/>
      <c r="EA3" s="91"/>
      <c r="EB3" s="91"/>
      <c r="EC3" s="91"/>
      <c r="ED3" s="90" t="s">
        <v>28</v>
      </c>
      <c r="EE3" s="91"/>
      <c r="EF3" s="91"/>
      <c r="EG3" s="91"/>
      <c r="EH3" s="91"/>
      <c r="EI3" s="90" t="s">
        <v>29</v>
      </c>
      <c r="EJ3" s="91"/>
      <c r="EK3" s="91"/>
      <c r="EL3" s="91"/>
      <c r="EM3" s="91"/>
      <c r="EN3" s="90" t="s">
        <v>30</v>
      </c>
      <c r="EO3" s="91"/>
      <c r="EP3" s="91"/>
      <c r="EQ3" s="91"/>
      <c r="ER3" s="91"/>
      <c r="ES3" s="90" t="s">
        <v>31</v>
      </c>
      <c r="ET3" s="91"/>
      <c r="EU3" s="91"/>
      <c r="EV3" s="91"/>
      <c r="EW3" s="91"/>
      <c r="EX3" s="90" t="s">
        <v>32</v>
      </c>
      <c r="EY3" s="91"/>
      <c r="EZ3" s="91"/>
      <c r="FA3" s="91"/>
      <c r="FB3" s="91"/>
      <c r="FC3" s="90" t="s">
        <v>33</v>
      </c>
      <c r="FD3" s="91"/>
      <c r="FE3" s="91"/>
      <c r="FF3" s="91"/>
      <c r="FG3" s="91"/>
      <c r="FH3" s="90" t="s">
        <v>34</v>
      </c>
      <c r="FI3" s="91"/>
      <c r="FJ3" s="91"/>
      <c r="FK3" s="91"/>
      <c r="FL3" s="91"/>
      <c r="FM3" s="90" t="s">
        <v>35</v>
      </c>
      <c r="FN3" s="91"/>
      <c r="FO3" s="91"/>
      <c r="FP3" s="91"/>
      <c r="FQ3" s="91"/>
      <c r="FR3" s="90" t="s">
        <v>36</v>
      </c>
      <c r="FS3" s="91"/>
      <c r="FT3" s="91"/>
      <c r="FU3" s="91"/>
      <c r="FV3" s="91"/>
      <c r="FW3" s="90" t="s">
        <v>37</v>
      </c>
      <c r="FX3" s="91"/>
      <c r="FY3" s="91"/>
      <c r="FZ3" s="91"/>
      <c r="GA3" s="91"/>
      <c r="GB3" s="90" t="s">
        <v>38</v>
      </c>
      <c r="GC3" s="91"/>
      <c r="GD3" s="91"/>
      <c r="GE3" s="91"/>
      <c r="GF3" s="91"/>
      <c r="GG3" s="90" t="s">
        <v>39</v>
      </c>
      <c r="GH3" s="91"/>
      <c r="GI3" s="91"/>
      <c r="GJ3" s="91"/>
      <c r="GK3" s="91"/>
      <c r="GL3" s="90" t="s">
        <v>40</v>
      </c>
      <c r="GM3" s="91"/>
      <c r="GN3" s="91"/>
      <c r="GO3" s="91"/>
      <c r="GP3" s="91"/>
      <c r="GQ3" s="90" t="s">
        <v>41</v>
      </c>
      <c r="GR3" s="91"/>
      <c r="GS3" s="91"/>
      <c r="GT3" s="91"/>
      <c r="GU3" s="91"/>
    </row>
    <row r="4" spans="3:203" x14ac:dyDescent="0.25">
      <c r="C4" s="91"/>
      <c r="D4" s="12" t="s">
        <v>42</v>
      </c>
      <c r="E4" s="12" t="s">
        <v>43</v>
      </c>
      <c r="F4" s="12" t="s">
        <v>44</v>
      </c>
      <c r="G4" s="12" t="s">
        <v>45</v>
      </c>
      <c r="H4" s="12" t="s">
        <v>46</v>
      </c>
      <c r="I4" s="12" t="s">
        <v>42</v>
      </c>
      <c r="J4" s="12" t="s">
        <v>43</v>
      </c>
      <c r="K4" s="12" t="s">
        <v>44</v>
      </c>
      <c r="L4" s="12" t="s">
        <v>45</v>
      </c>
      <c r="M4" s="12" t="s">
        <v>46</v>
      </c>
      <c r="N4" s="12" t="s">
        <v>42</v>
      </c>
      <c r="O4" s="12" t="s">
        <v>43</v>
      </c>
      <c r="P4" s="12" t="s">
        <v>44</v>
      </c>
      <c r="Q4" s="12" t="s">
        <v>45</v>
      </c>
      <c r="R4" s="12" t="s">
        <v>46</v>
      </c>
      <c r="S4" s="12" t="s">
        <v>42</v>
      </c>
      <c r="T4" s="12" t="s">
        <v>43</v>
      </c>
      <c r="U4" s="12" t="s">
        <v>44</v>
      </c>
      <c r="V4" s="12" t="s">
        <v>45</v>
      </c>
      <c r="W4" s="12" t="s">
        <v>46</v>
      </c>
      <c r="X4" s="12" t="s">
        <v>42</v>
      </c>
      <c r="Y4" s="12" t="s">
        <v>43</v>
      </c>
      <c r="Z4" s="12" t="s">
        <v>44</v>
      </c>
      <c r="AA4" s="12" t="s">
        <v>45</v>
      </c>
      <c r="AB4" s="12" t="s">
        <v>46</v>
      </c>
      <c r="AC4" s="17" t="s">
        <v>42</v>
      </c>
      <c r="AD4" s="17" t="s">
        <v>43</v>
      </c>
      <c r="AE4" s="17" t="s">
        <v>44</v>
      </c>
      <c r="AF4" s="17" t="s">
        <v>45</v>
      </c>
      <c r="AG4" s="17" t="s">
        <v>46</v>
      </c>
      <c r="AH4" s="12" t="s">
        <v>42</v>
      </c>
      <c r="AI4" s="12" t="s">
        <v>43</v>
      </c>
      <c r="AJ4" s="12" t="s">
        <v>44</v>
      </c>
      <c r="AK4" s="12" t="s">
        <v>45</v>
      </c>
      <c r="AL4" s="12" t="s">
        <v>46</v>
      </c>
      <c r="AM4" s="12" t="s">
        <v>42</v>
      </c>
      <c r="AN4" s="12" t="s">
        <v>43</v>
      </c>
      <c r="AO4" s="12" t="s">
        <v>44</v>
      </c>
      <c r="AP4" s="12" t="s">
        <v>45</v>
      </c>
      <c r="AQ4" s="12" t="s">
        <v>46</v>
      </c>
      <c r="AR4" s="12" t="s">
        <v>42</v>
      </c>
      <c r="AS4" s="12" t="s">
        <v>43</v>
      </c>
      <c r="AT4" s="12" t="s">
        <v>44</v>
      </c>
      <c r="AU4" s="12" t="s">
        <v>45</v>
      </c>
      <c r="AV4" s="12" t="s">
        <v>46</v>
      </c>
      <c r="AW4" s="12" t="s">
        <v>42</v>
      </c>
      <c r="AX4" s="12" t="s">
        <v>43</v>
      </c>
      <c r="AY4" s="12" t="s">
        <v>44</v>
      </c>
      <c r="AZ4" s="12" t="s">
        <v>45</v>
      </c>
      <c r="BA4" s="12" t="s">
        <v>46</v>
      </c>
      <c r="BB4" s="12" t="s">
        <v>42</v>
      </c>
      <c r="BC4" s="12" t="s">
        <v>43</v>
      </c>
      <c r="BD4" s="12" t="s">
        <v>44</v>
      </c>
      <c r="BE4" s="12" t="s">
        <v>45</v>
      </c>
      <c r="BF4" s="12" t="s">
        <v>46</v>
      </c>
      <c r="BG4" s="12" t="s">
        <v>42</v>
      </c>
      <c r="BH4" s="12" t="s">
        <v>43</v>
      </c>
      <c r="BI4" s="12" t="s">
        <v>44</v>
      </c>
      <c r="BJ4" s="12" t="s">
        <v>45</v>
      </c>
      <c r="BK4" s="12" t="s">
        <v>46</v>
      </c>
      <c r="BL4" s="12" t="s">
        <v>42</v>
      </c>
      <c r="BM4" s="12" t="s">
        <v>43</v>
      </c>
      <c r="BN4" s="12" t="s">
        <v>44</v>
      </c>
      <c r="BO4" s="12" t="s">
        <v>45</v>
      </c>
      <c r="BP4" s="12" t="s">
        <v>46</v>
      </c>
      <c r="BQ4" s="12" t="s">
        <v>42</v>
      </c>
      <c r="BR4" s="12" t="s">
        <v>43</v>
      </c>
      <c r="BS4" s="12" t="s">
        <v>44</v>
      </c>
      <c r="BT4" s="12" t="s">
        <v>45</v>
      </c>
      <c r="BU4" s="12" t="s">
        <v>46</v>
      </c>
      <c r="BV4" s="12" t="s">
        <v>42</v>
      </c>
      <c r="BW4" s="12" t="s">
        <v>43</v>
      </c>
      <c r="BX4" s="12" t="s">
        <v>44</v>
      </c>
      <c r="BY4" s="12" t="s">
        <v>45</v>
      </c>
      <c r="BZ4" s="12" t="s">
        <v>46</v>
      </c>
      <c r="CA4" s="12" t="s">
        <v>42</v>
      </c>
      <c r="CB4" s="12" t="s">
        <v>43</v>
      </c>
      <c r="CC4" s="12" t="s">
        <v>44</v>
      </c>
      <c r="CD4" s="12" t="s">
        <v>45</v>
      </c>
      <c r="CE4" s="12" t="s">
        <v>46</v>
      </c>
      <c r="CF4" s="12" t="s">
        <v>42</v>
      </c>
      <c r="CG4" s="12" t="s">
        <v>43</v>
      </c>
      <c r="CH4" s="12" t="s">
        <v>44</v>
      </c>
      <c r="CI4" s="12" t="s">
        <v>45</v>
      </c>
      <c r="CJ4" s="12" t="s">
        <v>46</v>
      </c>
      <c r="CK4" s="12" t="s">
        <v>42</v>
      </c>
      <c r="CL4" s="12" t="s">
        <v>43</v>
      </c>
      <c r="CM4" s="12" t="s">
        <v>44</v>
      </c>
      <c r="CN4" s="12" t="s">
        <v>45</v>
      </c>
      <c r="CO4" s="12" t="s">
        <v>46</v>
      </c>
      <c r="CP4" s="12" t="s">
        <v>42</v>
      </c>
      <c r="CQ4" s="12" t="s">
        <v>43</v>
      </c>
      <c r="CR4" s="12" t="s">
        <v>44</v>
      </c>
      <c r="CS4" s="12" t="s">
        <v>45</v>
      </c>
      <c r="CT4" s="12" t="s">
        <v>46</v>
      </c>
      <c r="CU4" s="12" t="s">
        <v>42</v>
      </c>
      <c r="CV4" s="12" t="s">
        <v>43</v>
      </c>
      <c r="CW4" s="12" t="s">
        <v>44</v>
      </c>
      <c r="CX4" s="12" t="s">
        <v>45</v>
      </c>
      <c r="CY4" s="12" t="s">
        <v>46</v>
      </c>
      <c r="CZ4" s="12" t="s">
        <v>42</v>
      </c>
      <c r="DA4" s="12" t="s">
        <v>43</v>
      </c>
      <c r="DB4" s="12" t="s">
        <v>44</v>
      </c>
      <c r="DC4" s="12" t="s">
        <v>45</v>
      </c>
      <c r="DD4" s="12" t="s">
        <v>46</v>
      </c>
      <c r="DE4" s="12" t="s">
        <v>42</v>
      </c>
      <c r="DF4" s="12" t="s">
        <v>43</v>
      </c>
      <c r="DG4" s="12" t="s">
        <v>44</v>
      </c>
      <c r="DH4" s="12" t="s">
        <v>45</v>
      </c>
      <c r="DI4" s="12" t="s">
        <v>46</v>
      </c>
      <c r="DJ4" s="12" t="s">
        <v>42</v>
      </c>
      <c r="DK4" s="12" t="s">
        <v>43</v>
      </c>
      <c r="DL4" s="12" t="s">
        <v>44</v>
      </c>
      <c r="DM4" s="12" t="s">
        <v>45</v>
      </c>
      <c r="DN4" s="12" t="s">
        <v>46</v>
      </c>
      <c r="DO4" s="12" t="s">
        <v>42</v>
      </c>
      <c r="DP4" s="12" t="s">
        <v>43</v>
      </c>
      <c r="DQ4" s="12" t="s">
        <v>44</v>
      </c>
      <c r="DR4" s="12" t="s">
        <v>45</v>
      </c>
      <c r="DS4" s="12" t="s">
        <v>46</v>
      </c>
      <c r="DT4" s="12" t="s">
        <v>42</v>
      </c>
      <c r="DU4" s="12" t="s">
        <v>43</v>
      </c>
      <c r="DV4" s="12" t="s">
        <v>44</v>
      </c>
      <c r="DW4" s="12" t="s">
        <v>45</v>
      </c>
      <c r="DX4" s="12" t="s">
        <v>46</v>
      </c>
      <c r="DY4" s="12" t="s">
        <v>42</v>
      </c>
      <c r="DZ4" s="12" t="s">
        <v>43</v>
      </c>
      <c r="EA4" s="12" t="s">
        <v>44</v>
      </c>
      <c r="EB4" s="12" t="s">
        <v>45</v>
      </c>
      <c r="EC4" s="12" t="s">
        <v>46</v>
      </c>
      <c r="ED4" s="12" t="s">
        <v>42</v>
      </c>
      <c r="EE4" s="12" t="s">
        <v>43</v>
      </c>
      <c r="EF4" s="12" t="s">
        <v>44</v>
      </c>
      <c r="EG4" s="12" t="s">
        <v>45</v>
      </c>
      <c r="EH4" s="12" t="s">
        <v>46</v>
      </c>
      <c r="EI4" s="12" t="s">
        <v>42</v>
      </c>
      <c r="EJ4" s="12" t="s">
        <v>43</v>
      </c>
      <c r="EK4" s="12" t="s">
        <v>44</v>
      </c>
      <c r="EL4" s="12" t="s">
        <v>45</v>
      </c>
      <c r="EM4" s="12" t="s">
        <v>46</v>
      </c>
      <c r="EN4" s="12" t="s">
        <v>42</v>
      </c>
      <c r="EO4" s="12" t="s">
        <v>43</v>
      </c>
      <c r="EP4" s="12" t="s">
        <v>44</v>
      </c>
      <c r="EQ4" s="12" t="s">
        <v>45</v>
      </c>
      <c r="ER4" s="12" t="s">
        <v>46</v>
      </c>
      <c r="ES4" s="12" t="s">
        <v>42</v>
      </c>
      <c r="ET4" s="12" t="s">
        <v>43</v>
      </c>
      <c r="EU4" s="12" t="s">
        <v>44</v>
      </c>
      <c r="EV4" s="12" t="s">
        <v>45</v>
      </c>
      <c r="EW4" s="12" t="s">
        <v>46</v>
      </c>
      <c r="EX4" s="12" t="s">
        <v>42</v>
      </c>
      <c r="EY4" s="12" t="s">
        <v>43</v>
      </c>
      <c r="EZ4" s="12" t="s">
        <v>44</v>
      </c>
      <c r="FA4" s="12" t="s">
        <v>45</v>
      </c>
      <c r="FB4" s="12" t="s">
        <v>46</v>
      </c>
      <c r="FC4" s="12" t="s">
        <v>42</v>
      </c>
      <c r="FD4" s="12" t="s">
        <v>43</v>
      </c>
      <c r="FE4" s="12" t="s">
        <v>44</v>
      </c>
      <c r="FF4" s="12" t="s">
        <v>45</v>
      </c>
      <c r="FG4" s="12" t="s">
        <v>46</v>
      </c>
      <c r="FH4" s="12" t="s">
        <v>42</v>
      </c>
      <c r="FI4" s="12" t="s">
        <v>43</v>
      </c>
      <c r="FJ4" s="12" t="s">
        <v>44</v>
      </c>
      <c r="FK4" s="12" t="s">
        <v>45</v>
      </c>
      <c r="FL4" s="12" t="s">
        <v>46</v>
      </c>
      <c r="FM4" s="12" t="s">
        <v>42</v>
      </c>
      <c r="FN4" s="12" t="s">
        <v>43</v>
      </c>
      <c r="FO4" s="12" t="s">
        <v>44</v>
      </c>
      <c r="FP4" s="12" t="s">
        <v>45</v>
      </c>
      <c r="FQ4" s="12" t="s">
        <v>46</v>
      </c>
      <c r="FR4" s="12" t="s">
        <v>42</v>
      </c>
      <c r="FS4" s="12" t="s">
        <v>43</v>
      </c>
      <c r="FT4" s="12" t="s">
        <v>44</v>
      </c>
      <c r="FU4" s="12" t="s">
        <v>45</v>
      </c>
      <c r="FV4" s="12" t="s">
        <v>46</v>
      </c>
      <c r="FW4" s="12" t="s">
        <v>42</v>
      </c>
      <c r="FX4" s="12" t="s">
        <v>43</v>
      </c>
      <c r="FY4" s="12" t="s">
        <v>44</v>
      </c>
      <c r="FZ4" s="12" t="s">
        <v>45</v>
      </c>
      <c r="GA4" s="12" t="s">
        <v>46</v>
      </c>
      <c r="GB4" s="12" t="s">
        <v>42</v>
      </c>
      <c r="GC4" s="12" t="s">
        <v>43</v>
      </c>
      <c r="GD4" s="12" t="s">
        <v>44</v>
      </c>
      <c r="GE4" s="12" t="s">
        <v>45</v>
      </c>
      <c r="GF4" s="12" t="s">
        <v>46</v>
      </c>
      <c r="GG4" s="12" t="s">
        <v>42</v>
      </c>
      <c r="GH4" s="12" t="s">
        <v>43</v>
      </c>
      <c r="GI4" s="12" t="s">
        <v>44</v>
      </c>
      <c r="GJ4" s="12" t="s">
        <v>45</v>
      </c>
      <c r="GK4" s="12" t="s">
        <v>46</v>
      </c>
      <c r="GL4" s="12" t="s">
        <v>42</v>
      </c>
      <c r="GM4" s="12" t="s">
        <v>43</v>
      </c>
      <c r="GN4" s="12" t="s">
        <v>44</v>
      </c>
      <c r="GO4" s="12" t="s">
        <v>45</v>
      </c>
      <c r="GP4" s="12" t="s">
        <v>46</v>
      </c>
      <c r="GQ4" s="12" t="s">
        <v>42</v>
      </c>
      <c r="GR4" s="12" t="s">
        <v>43</v>
      </c>
      <c r="GS4" s="12" t="s">
        <v>44</v>
      </c>
      <c r="GT4" s="12" t="s">
        <v>45</v>
      </c>
      <c r="GU4" s="12" t="s">
        <v>46</v>
      </c>
    </row>
    <row r="5" spans="3:203" x14ac:dyDescent="0.25">
      <c r="C5" s="4">
        <v>1</v>
      </c>
      <c r="D5" s="1" t="s">
        <v>47</v>
      </c>
      <c r="E5" s="2" t="s">
        <v>48</v>
      </c>
      <c r="F5" s="3">
        <v>79120000</v>
      </c>
      <c r="G5" s="4">
        <f t="shared" ref="G5:G28" si="0">F5/920000</f>
        <v>86</v>
      </c>
      <c r="H5" s="3">
        <f t="shared" ref="H5:H28" si="1">F5*20%</f>
        <v>15824000</v>
      </c>
      <c r="I5" s="1" t="s">
        <v>49</v>
      </c>
      <c r="J5" s="2" t="s">
        <v>50</v>
      </c>
      <c r="K5" s="11">
        <v>83720000</v>
      </c>
      <c r="L5" s="4">
        <f t="shared" ref="L5:L25" si="2">K5/920000</f>
        <v>91</v>
      </c>
      <c r="M5" s="11">
        <f t="shared" ref="M5:M25" si="3">K5*20%</f>
        <v>16744000</v>
      </c>
      <c r="N5" s="1" t="s">
        <v>51</v>
      </c>
      <c r="O5" s="2" t="s">
        <v>52</v>
      </c>
      <c r="P5" s="13">
        <v>268640000</v>
      </c>
      <c r="Q5" s="4">
        <f t="shared" ref="Q5:Q28" si="4">P5/920000</f>
        <v>292</v>
      </c>
      <c r="R5" s="11">
        <f t="shared" ref="R5:R28" si="5">P5*20%</f>
        <v>53728000</v>
      </c>
      <c r="S5" s="1" t="s">
        <v>53</v>
      </c>
      <c r="T5" s="2" t="s">
        <v>54</v>
      </c>
      <c r="U5" s="14">
        <v>237360000</v>
      </c>
      <c r="V5" s="4">
        <f t="shared" ref="V5:V22" si="6">U5/920000</f>
        <v>258</v>
      </c>
      <c r="W5" s="11">
        <f t="shared" ref="W5:W22" si="7">U5*20%</f>
        <v>47472000</v>
      </c>
      <c r="X5" s="1" t="s">
        <v>55</v>
      </c>
      <c r="Y5" s="2" t="s">
        <v>56</v>
      </c>
      <c r="Z5" s="3">
        <v>284280000</v>
      </c>
      <c r="AA5" s="4">
        <f t="shared" ref="AA5:AA19" si="8">Z5/920000</f>
        <v>309</v>
      </c>
      <c r="AB5" s="15">
        <f t="shared" ref="AB5:AB19" si="9">Z5*20%</f>
        <v>56856000</v>
      </c>
      <c r="AC5" s="1" t="s">
        <v>57</v>
      </c>
      <c r="AD5" s="2" t="s">
        <v>58</v>
      </c>
      <c r="AE5" s="11">
        <v>204240000</v>
      </c>
      <c r="AF5" s="4">
        <f t="shared" ref="AF5:AF18" si="10">AE5/920000</f>
        <v>222</v>
      </c>
      <c r="AG5" s="11">
        <f t="shared" ref="AG5:AG18" si="11">AE5*20%</f>
        <v>40848000</v>
      </c>
      <c r="AH5" s="1" t="s">
        <v>59</v>
      </c>
      <c r="AI5" s="2" t="s">
        <v>60</v>
      </c>
      <c r="AJ5" s="10">
        <v>90160000</v>
      </c>
      <c r="AK5" s="4">
        <f t="shared" ref="AK5:AK27" si="12">AJ5/920000</f>
        <v>98</v>
      </c>
      <c r="AL5" s="3">
        <f t="shared" ref="AL5:AL27" si="13">AJ5*20%</f>
        <v>18032000</v>
      </c>
      <c r="AM5" s="1" t="s">
        <v>61</v>
      </c>
      <c r="AN5" s="2" t="s">
        <v>62</v>
      </c>
      <c r="AO5" s="11">
        <v>63480000</v>
      </c>
      <c r="AP5" s="4">
        <f t="shared" ref="AP5:AP32" si="14">AO5/920000</f>
        <v>69</v>
      </c>
      <c r="AQ5" s="11">
        <f t="shared" ref="AQ5:AQ32" si="15">AO5*20%</f>
        <v>12696000</v>
      </c>
      <c r="AR5" s="1" t="s">
        <v>63</v>
      </c>
      <c r="AS5" s="2" t="s">
        <v>64</v>
      </c>
      <c r="AT5" s="11">
        <v>159160000</v>
      </c>
      <c r="AU5" s="4">
        <f t="shared" ref="AU5:AU23" si="16">AT5/920000</f>
        <v>173</v>
      </c>
      <c r="AV5" s="11">
        <f t="shared" ref="AV5:AV23" si="17">AT5*20%</f>
        <v>31832000</v>
      </c>
      <c r="AW5" s="1" t="s">
        <v>65</v>
      </c>
      <c r="AX5" s="2" t="s">
        <v>66</v>
      </c>
      <c r="AY5" s="11">
        <v>111320000</v>
      </c>
      <c r="AZ5" s="4">
        <f t="shared" ref="AZ5:AZ29" si="18">AY5/920000</f>
        <v>121</v>
      </c>
      <c r="BA5" s="11">
        <f t="shared" ref="BA5:BA29" si="19">AY5*20%</f>
        <v>22264000</v>
      </c>
      <c r="BB5" s="1" t="s">
        <v>67</v>
      </c>
      <c r="BC5" s="2" t="s">
        <v>68</v>
      </c>
      <c r="BD5" s="11">
        <v>241040000</v>
      </c>
      <c r="BE5" s="4">
        <f t="shared" ref="BE5:BE19" si="20">BD5/920000</f>
        <v>262</v>
      </c>
      <c r="BF5" s="19">
        <f t="shared" ref="BF5:BF19" si="21">BD5*20%</f>
        <v>48208000</v>
      </c>
      <c r="BG5" s="1" t="s">
        <v>69</v>
      </c>
      <c r="BH5" s="2" t="s">
        <v>70</v>
      </c>
      <c r="BI5" s="11">
        <v>239200000</v>
      </c>
      <c r="BJ5" s="4">
        <f t="shared" ref="BJ5:BJ19" si="22">BI5/920000</f>
        <v>260</v>
      </c>
      <c r="BK5" s="11">
        <f t="shared" ref="BK5:BK19" si="23">BI5*20%</f>
        <v>47840000</v>
      </c>
      <c r="BL5" s="1" t="s">
        <v>71</v>
      </c>
      <c r="BM5" s="2" t="s">
        <v>72</v>
      </c>
      <c r="BN5" s="11">
        <v>160080000</v>
      </c>
      <c r="BO5" s="4">
        <f t="shared" ref="BO5:BO29" si="24">BN5/920000</f>
        <v>174</v>
      </c>
      <c r="BP5" s="11">
        <f t="shared" ref="BP5:BP29" si="25">BN5*20%</f>
        <v>32016000</v>
      </c>
      <c r="BQ5" s="1" t="s">
        <v>73</v>
      </c>
      <c r="BR5" s="2" t="s">
        <v>74</v>
      </c>
      <c r="BS5" s="11">
        <v>110400000</v>
      </c>
      <c r="BT5" s="4">
        <f t="shared" ref="BT5:BT23" si="26">BS5/920000</f>
        <v>120</v>
      </c>
      <c r="BU5" s="11">
        <f t="shared" ref="BU5:BU23" si="27">BS5*20%</f>
        <v>22080000</v>
      </c>
      <c r="BV5" s="1" t="s">
        <v>75</v>
      </c>
      <c r="BW5" s="2" t="s">
        <v>76</v>
      </c>
      <c r="BX5" s="11">
        <v>122360000</v>
      </c>
      <c r="BY5" s="4">
        <f t="shared" ref="BY5:BY19" si="28">BX5/920000</f>
        <v>133</v>
      </c>
      <c r="BZ5" s="11">
        <f t="shared" ref="BZ5:BZ19" si="29">BX5*20%</f>
        <v>24472000</v>
      </c>
      <c r="CA5" s="1" t="s">
        <v>77</v>
      </c>
      <c r="CB5" s="2" t="s">
        <v>78</v>
      </c>
      <c r="CC5" s="11">
        <v>166520000</v>
      </c>
      <c r="CD5" s="4">
        <f t="shared" ref="CD5:CD23" si="30">CC5/920000</f>
        <v>181</v>
      </c>
      <c r="CE5" s="11">
        <f t="shared" ref="CE5:CE23" si="31">CC5*20%</f>
        <v>33304000</v>
      </c>
      <c r="CF5" s="1" t="s">
        <v>79</v>
      </c>
      <c r="CG5" s="2" t="s">
        <v>80</v>
      </c>
      <c r="CH5" s="3">
        <v>129720000</v>
      </c>
      <c r="CI5" s="4">
        <f t="shared" ref="CI5:CI22" si="32">CH5/920000</f>
        <v>141</v>
      </c>
      <c r="CJ5" s="11">
        <f t="shared" ref="CJ5:CJ22" si="33">CH5*20%</f>
        <v>25944000</v>
      </c>
      <c r="CK5" s="1" t="s">
        <v>81</v>
      </c>
      <c r="CL5" s="2" t="s">
        <v>82</v>
      </c>
      <c r="CM5" s="11">
        <v>111320000</v>
      </c>
      <c r="CN5" s="4">
        <f t="shared" ref="CN5:CN15" si="34">CM5/920000</f>
        <v>121</v>
      </c>
      <c r="CO5" s="11">
        <f t="shared" ref="CO5:CO15" si="35">CM5*20%</f>
        <v>22264000</v>
      </c>
      <c r="CP5" s="1" t="s">
        <v>83</v>
      </c>
      <c r="CQ5" s="2" t="s">
        <v>84</v>
      </c>
      <c r="CR5" s="11">
        <v>138920000</v>
      </c>
      <c r="CS5" s="4">
        <f t="shared" ref="CS5:CS17" si="36">CR5/920000</f>
        <v>151</v>
      </c>
      <c r="CT5" s="11">
        <f t="shared" ref="CT5:CT17" si="37">CR5*20%</f>
        <v>27784000</v>
      </c>
      <c r="CU5" s="1" t="s">
        <v>85</v>
      </c>
      <c r="CV5" s="2" t="s">
        <v>86</v>
      </c>
      <c r="CW5" s="11">
        <v>207920000</v>
      </c>
      <c r="CX5" s="4">
        <f t="shared" ref="CX5:CX24" si="38">CW5/920000</f>
        <v>226</v>
      </c>
      <c r="CY5" s="11">
        <f t="shared" ref="CY5:CY24" si="39">CW5*20%</f>
        <v>41584000</v>
      </c>
      <c r="CZ5" s="1" t="s">
        <v>87</v>
      </c>
      <c r="DA5" s="2" t="s">
        <v>88</v>
      </c>
      <c r="DB5" s="11">
        <v>180320000</v>
      </c>
      <c r="DC5" s="4">
        <f t="shared" ref="DC5:DC25" si="40">DB5/920000</f>
        <v>196</v>
      </c>
      <c r="DD5" s="11">
        <f t="shared" ref="DD5:DD25" si="41">DB5*20%</f>
        <v>36064000</v>
      </c>
      <c r="DE5" s="1" t="s">
        <v>89</v>
      </c>
      <c r="DF5" s="2" t="s">
        <v>90</v>
      </c>
      <c r="DG5" s="11">
        <v>221720000</v>
      </c>
      <c r="DH5" s="4">
        <f t="shared" ref="DH5:DH20" si="42">DG5/920000</f>
        <v>241</v>
      </c>
      <c r="DI5" s="11">
        <f t="shared" ref="DI5:DI20" si="43">DG5*20%</f>
        <v>44344000</v>
      </c>
      <c r="DJ5" s="1" t="s">
        <v>91</v>
      </c>
      <c r="DK5" s="2" t="s">
        <v>92</v>
      </c>
      <c r="DL5" s="11">
        <v>602600000</v>
      </c>
      <c r="DM5" s="29">
        <f t="shared" ref="DM5:DM23" si="44">DL5/920000</f>
        <v>655</v>
      </c>
      <c r="DN5" s="11">
        <f t="shared" ref="DN5:DN23" si="45">DL5*20%</f>
        <v>120520000</v>
      </c>
      <c r="DO5" s="1" t="s">
        <v>93</v>
      </c>
      <c r="DP5" s="2" t="s">
        <v>94</v>
      </c>
      <c r="DQ5" s="24">
        <v>103040000</v>
      </c>
      <c r="DR5" s="4">
        <f t="shared" ref="DR5:DR23" si="46">DQ5/920000</f>
        <v>112</v>
      </c>
      <c r="DS5" s="3">
        <f t="shared" ref="DS5:DS23" si="47">DQ5*20%</f>
        <v>20608000</v>
      </c>
      <c r="DT5" s="1" t="s">
        <v>95</v>
      </c>
      <c r="DU5" s="2" t="s">
        <v>96</v>
      </c>
      <c r="DV5" s="11">
        <v>141680000</v>
      </c>
      <c r="DW5" s="4">
        <f t="shared" ref="DW5:DW16" si="48">DV5/920000</f>
        <v>154</v>
      </c>
      <c r="DX5" s="11">
        <f t="shared" ref="DX5:DX16" si="49">DV5*20%</f>
        <v>28336000</v>
      </c>
      <c r="DY5" s="1" t="s">
        <v>97</v>
      </c>
      <c r="DZ5" s="2" t="s">
        <v>98</v>
      </c>
      <c r="EA5" s="24">
        <v>321080000</v>
      </c>
      <c r="EB5" s="4">
        <f t="shared" ref="EB5:EB26" si="50">EA5/920000</f>
        <v>349</v>
      </c>
      <c r="EC5" s="11">
        <f t="shared" ref="EC5:EC26" si="51">EA5*20%</f>
        <v>64216000</v>
      </c>
      <c r="ED5" s="1" t="s">
        <v>99</v>
      </c>
      <c r="EE5" s="2" t="s">
        <v>100</v>
      </c>
      <c r="EF5" s="11">
        <v>65320000</v>
      </c>
      <c r="EG5" s="4">
        <f t="shared" ref="EG5:EG17" si="52">EF5/920000</f>
        <v>71</v>
      </c>
      <c r="EH5" s="11">
        <f t="shared" ref="EH5:EH17" si="53">EF5*20%</f>
        <v>13064000</v>
      </c>
      <c r="EI5" s="1" t="s">
        <v>101</v>
      </c>
      <c r="EJ5" s="2" t="s">
        <v>102</v>
      </c>
      <c r="EK5" s="24">
        <v>261280000</v>
      </c>
      <c r="EL5" s="4">
        <f t="shared" ref="EL5:EL17" si="54">EK5/920000</f>
        <v>284</v>
      </c>
      <c r="EM5" s="11">
        <f t="shared" ref="EM5:EM17" si="55">EK5*20%</f>
        <v>52256000</v>
      </c>
      <c r="EN5" s="1" t="s">
        <v>103</v>
      </c>
      <c r="EO5" s="2" t="s">
        <v>104</v>
      </c>
      <c r="EP5" s="11">
        <v>270480000</v>
      </c>
      <c r="EQ5" s="4">
        <f t="shared" ref="EQ5:EQ15" si="56">EP5/920000</f>
        <v>294</v>
      </c>
      <c r="ER5" s="11">
        <f t="shared" ref="ER5:ER15" si="57">EP5*20%</f>
        <v>54096000</v>
      </c>
      <c r="ES5" s="1" t="s">
        <v>105</v>
      </c>
      <c r="ET5" s="2" t="s">
        <v>106</v>
      </c>
      <c r="EU5" s="24">
        <v>266800000</v>
      </c>
      <c r="EV5" s="4">
        <f t="shared" ref="EV5:EV22" si="58">EU5/920000</f>
        <v>290</v>
      </c>
      <c r="EW5" s="11">
        <f t="shared" ref="EW5:EW22" si="59">EU5*20%</f>
        <v>53360000</v>
      </c>
      <c r="EX5" s="1" t="s">
        <v>107</v>
      </c>
      <c r="EY5" s="2" t="s">
        <v>108</v>
      </c>
      <c r="EZ5" s="24">
        <v>94760000</v>
      </c>
      <c r="FA5" s="4">
        <f t="shared" ref="FA5:FA32" si="60">EZ5/920000</f>
        <v>103</v>
      </c>
      <c r="FB5" s="11">
        <f t="shared" ref="FB5:FB32" si="61">EZ5*20%</f>
        <v>18952000</v>
      </c>
      <c r="FC5" s="1" t="s">
        <v>109</v>
      </c>
      <c r="FD5" s="2" t="s">
        <v>110</v>
      </c>
      <c r="FE5" s="24">
        <v>160080000</v>
      </c>
      <c r="FF5" s="4">
        <f t="shared" ref="FF5:FF21" si="62">FE5/920000</f>
        <v>174</v>
      </c>
      <c r="FG5" s="11">
        <f t="shared" ref="FG5:FG21" si="63">FE5*20%</f>
        <v>32016000</v>
      </c>
      <c r="FH5" s="1" t="s">
        <v>111</v>
      </c>
      <c r="FI5" s="2" t="s">
        <v>112</v>
      </c>
      <c r="FJ5" s="24">
        <v>117760000</v>
      </c>
      <c r="FK5" s="4">
        <f t="shared" ref="FK5:FK31" si="64">FJ5/920000</f>
        <v>128</v>
      </c>
      <c r="FL5" s="11">
        <f t="shared" ref="FL5:FL31" si="65">FJ5*20%</f>
        <v>23552000</v>
      </c>
      <c r="FM5" s="1" t="s">
        <v>113</v>
      </c>
      <c r="FN5" s="2" t="s">
        <v>114</v>
      </c>
      <c r="FO5" s="11">
        <v>207000000</v>
      </c>
      <c r="FP5" s="4">
        <f t="shared" ref="FP5:FP20" si="66">FO5/920000</f>
        <v>225</v>
      </c>
      <c r="FQ5" s="11">
        <f t="shared" ref="FQ5:FQ20" si="67">FO5*20%</f>
        <v>41400000</v>
      </c>
      <c r="FR5" s="1" t="s">
        <v>115</v>
      </c>
      <c r="FS5" s="2" t="s">
        <v>116</v>
      </c>
      <c r="FT5" s="24">
        <v>139840000</v>
      </c>
      <c r="FU5" s="4">
        <f t="shared" ref="FU5:FU30" si="68">FT5/920000</f>
        <v>152</v>
      </c>
      <c r="FV5" s="11">
        <f t="shared" ref="FV5:FV30" si="69">FT5*20%</f>
        <v>27968000</v>
      </c>
      <c r="FW5" s="1" t="s">
        <v>117</v>
      </c>
      <c r="FX5" s="2" t="s">
        <v>118</v>
      </c>
      <c r="FY5" s="24">
        <v>135240000</v>
      </c>
      <c r="FZ5" s="4">
        <f t="shared" ref="FZ5:FZ20" si="70">FY5/920000</f>
        <v>147</v>
      </c>
      <c r="GA5" s="11">
        <f t="shared" ref="GA5:GA20" si="71">FY5*20%</f>
        <v>27048000</v>
      </c>
      <c r="GB5" s="1" t="s">
        <v>119</v>
      </c>
      <c r="GC5" s="2" t="s">
        <v>120</v>
      </c>
      <c r="GD5" s="24">
        <v>162840000</v>
      </c>
      <c r="GE5" s="4">
        <f t="shared" ref="GE5:GE25" si="72">GD5/920000</f>
        <v>177</v>
      </c>
      <c r="GF5" s="11">
        <f t="shared" ref="GF5:GF25" si="73">GD5*20%</f>
        <v>32568000</v>
      </c>
      <c r="GG5" s="1" t="s">
        <v>121</v>
      </c>
      <c r="GH5" s="2" t="s">
        <v>122</v>
      </c>
      <c r="GI5" s="24">
        <v>311880000</v>
      </c>
      <c r="GJ5" s="4">
        <f t="shared" ref="GJ5:GJ17" si="74">GI5/920000</f>
        <v>339</v>
      </c>
      <c r="GK5" s="11">
        <f t="shared" ref="GK5:GK17" si="75">GI5*20%</f>
        <v>62376000</v>
      </c>
      <c r="GL5" s="1" t="s">
        <v>123</v>
      </c>
      <c r="GM5" s="2" t="s">
        <v>124</v>
      </c>
      <c r="GN5" s="24">
        <v>92920000</v>
      </c>
      <c r="GO5" s="4">
        <f t="shared" ref="GO5:GO23" si="76">GN5/920000</f>
        <v>101</v>
      </c>
      <c r="GP5" s="11">
        <f t="shared" ref="GP5:GP23" si="77">GN5*20%</f>
        <v>18584000</v>
      </c>
      <c r="GQ5" s="1" t="s">
        <v>125</v>
      </c>
      <c r="GR5" s="2" t="s">
        <v>126</v>
      </c>
      <c r="GS5" s="24">
        <v>428720000</v>
      </c>
      <c r="GT5" s="4">
        <f t="shared" ref="GT5:GT21" si="78">GS5/920000</f>
        <v>466</v>
      </c>
      <c r="GU5" s="18">
        <f t="shared" ref="GU5:GU21" si="79">GS5*20%</f>
        <v>85744000</v>
      </c>
    </row>
    <row r="6" spans="3:203" x14ac:dyDescent="0.25">
      <c r="C6" s="4">
        <v>2</v>
      </c>
      <c r="D6" s="1" t="s">
        <v>127</v>
      </c>
      <c r="E6" s="2" t="s">
        <v>128</v>
      </c>
      <c r="F6" s="3">
        <v>236440000</v>
      </c>
      <c r="G6" s="4">
        <f t="shared" si="0"/>
        <v>257</v>
      </c>
      <c r="H6" s="3">
        <f t="shared" si="1"/>
        <v>47288000</v>
      </c>
      <c r="I6" s="1" t="s">
        <v>129</v>
      </c>
      <c r="J6" s="2" t="s">
        <v>130</v>
      </c>
      <c r="K6" s="11">
        <v>252080000</v>
      </c>
      <c r="L6" s="4">
        <f t="shared" si="2"/>
        <v>274</v>
      </c>
      <c r="M6" s="11">
        <f t="shared" si="3"/>
        <v>50416000</v>
      </c>
      <c r="N6" s="1" t="s">
        <v>131</v>
      </c>
      <c r="O6" s="2" t="s">
        <v>132</v>
      </c>
      <c r="P6" s="13">
        <v>138920000</v>
      </c>
      <c r="Q6" s="4">
        <f t="shared" si="4"/>
        <v>151</v>
      </c>
      <c r="R6" s="11">
        <f t="shared" si="5"/>
        <v>27784000</v>
      </c>
      <c r="S6" s="1" t="s">
        <v>133</v>
      </c>
      <c r="T6" s="2" t="s">
        <v>134</v>
      </c>
      <c r="U6" s="14">
        <v>299000000</v>
      </c>
      <c r="V6" s="4">
        <f t="shared" si="6"/>
        <v>325</v>
      </c>
      <c r="W6" s="11">
        <f t="shared" si="7"/>
        <v>59800000</v>
      </c>
      <c r="X6" s="1" t="s">
        <v>135</v>
      </c>
      <c r="Y6" s="2" t="s">
        <v>136</v>
      </c>
      <c r="Z6" s="3">
        <v>97520000</v>
      </c>
      <c r="AA6" s="4">
        <f t="shared" si="8"/>
        <v>106</v>
      </c>
      <c r="AB6" s="15">
        <f t="shared" si="9"/>
        <v>19504000</v>
      </c>
      <c r="AC6" s="1" t="s">
        <v>137</v>
      </c>
      <c r="AD6" s="2" t="s">
        <v>138</v>
      </c>
      <c r="AE6" s="11">
        <v>165600000</v>
      </c>
      <c r="AF6" s="4">
        <f t="shared" si="10"/>
        <v>180</v>
      </c>
      <c r="AG6" s="11">
        <f t="shared" si="11"/>
        <v>33120000</v>
      </c>
      <c r="AH6" s="1" t="s">
        <v>139</v>
      </c>
      <c r="AI6" s="2" t="s">
        <v>140</v>
      </c>
      <c r="AJ6" s="10">
        <v>225400000</v>
      </c>
      <c r="AK6" s="4">
        <f t="shared" si="12"/>
        <v>245</v>
      </c>
      <c r="AL6" s="3">
        <f t="shared" si="13"/>
        <v>45080000</v>
      </c>
      <c r="AM6" s="1" t="s">
        <v>141</v>
      </c>
      <c r="AN6" s="2" t="s">
        <v>142</v>
      </c>
      <c r="AO6" s="11">
        <v>181240000</v>
      </c>
      <c r="AP6" s="4">
        <f t="shared" si="14"/>
        <v>197</v>
      </c>
      <c r="AQ6" s="11">
        <f t="shared" si="15"/>
        <v>36248000</v>
      </c>
      <c r="AR6" s="1" t="s">
        <v>143</v>
      </c>
      <c r="AS6" s="2" t="s">
        <v>144</v>
      </c>
      <c r="AT6" s="11">
        <v>161000000</v>
      </c>
      <c r="AU6" s="4">
        <f t="shared" si="16"/>
        <v>175</v>
      </c>
      <c r="AV6" s="11">
        <f t="shared" si="17"/>
        <v>32200000</v>
      </c>
      <c r="AW6" s="1" t="s">
        <v>145</v>
      </c>
      <c r="AX6" s="2" t="s">
        <v>146</v>
      </c>
      <c r="AY6" s="11">
        <v>256680000</v>
      </c>
      <c r="AZ6" s="4">
        <f t="shared" si="18"/>
        <v>279</v>
      </c>
      <c r="BA6" s="11">
        <f t="shared" si="19"/>
        <v>51336000</v>
      </c>
      <c r="BB6" s="1" t="s">
        <v>147</v>
      </c>
      <c r="BC6" s="2" t="s">
        <v>148</v>
      </c>
      <c r="BD6" s="11">
        <v>249320000</v>
      </c>
      <c r="BE6" s="4">
        <f t="shared" si="20"/>
        <v>271</v>
      </c>
      <c r="BF6" s="19">
        <f t="shared" si="21"/>
        <v>49864000</v>
      </c>
      <c r="BG6" s="1" t="s">
        <v>149</v>
      </c>
      <c r="BH6" s="2" t="s">
        <v>150</v>
      </c>
      <c r="BI6" s="11">
        <v>535440000</v>
      </c>
      <c r="BJ6" s="4">
        <f t="shared" si="22"/>
        <v>582</v>
      </c>
      <c r="BK6" s="11">
        <f t="shared" si="23"/>
        <v>107088000</v>
      </c>
      <c r="BL6" s="1" t="s">
        <v>151</v>
      </c>
      <c r="BM6" s="2" t="s">
        <v>152</v>
      </c>
      <c r="BN6" s="11">
        <v>84640000</v>
      </c>
      <c r="BO6" s="4">
        <f t="shared" si="24"/>
        <v>92</v>
      </c>
      <c r="BP6" s="11">
        <f t="shared" si="25"/>
        <v>16928000</v>
      </c>
      <c r="BQ6" s="1" t="s">
        <v>153</v>
      </c>
      <c r="BR6" s="2" t="s">
        <v>154</v>
      </c>
      <c r="BS6" s="11">
        <v>188600000</v>
      </c>
      <c r="BT6" s="4">
        <f t="shared" si="26"/>
        <v>205</v>
      </c>
      <c r="BU6" s="11">
        <f t="shared" si="27"/>
        <v>37720000</v>
      </c>
      <c r="BV6" s="1" t="s">
        <v>155</v>
      </c>
      <c r="BW6" s="2" t="s">
        <v>156</v>
      </c>
      <c r="BX6" s="11">
        <v>167440000</v>
      </c>
      <c r="BY6" s="4">
        <f t="shared" si="28"/>
        <v>182</v>
      </c>
      <c r="BZ6" s="11">
        <f t="shared" si="29"/>
        <v>33488000</v>
      </c>
      <c r="CA6" s="1" t="s">
        <v>157</v>
      </c>
      <c r="CB6" s="2" t="s">
        <v>158</v>
      </c>
      <c r="CC6" s="11">
        <v>162840000</v>
      </c>
      <c r="CD6" s="4">
        <f t="shared" si="30"/>
        <v>177</v>
      </c>
      <c r="CE6" s="11">
        <f t="shared" si="31"/>
        <v>32568000</v>
      </c>
      <c r="CF6" s="1" t="s">
        <v>159</v>
      </c>
      <c r="CG6" s="2" t="s">
        <v>160</v>
      </c>
      <c r="CH6" s="3">
        <v>129720000</v>
      </c>
      <c r="CI6" s="4">
        <f t="shared" si="32"/>
        <v>141</v>
      </c>
      <c r="CJ6" s="11">
        <f t="shared" si="33"/>
        <v>25944000</v>
      </c>
      <c r="CK6" s="1" t="s">
        <v>161</v>
      </c>
      <c r="CL6" s="2" t="s">
        <v>162</v>
      </c>
      <c r="CM6" s="11">
        <v>181240000</v>
      </c>
      <c r="CN6" s="4">
        <f t="shared" si="34"/>
        <v>197</v>
      </c>
      <c r="CO6" s="11">
        <f t="shared" si="35"/>
        <v>36248000</v>
      </c>
      <c r="CP6" s="1" t="s">
        <v>163</v>
      </c>
      <c r="CQ6" s="2" t="s">
        <v>164</v>
      </c>
      <c r="CR6" s="11">
        <v>440680000</v>
      </c>
      <c r="CS6" s="4">
        <f t="shared" si="36"/>
        <v>479</v>
      </c>
      <c r="CT6" s="11">
        <f t="shared" si="37"/>
        <v>88136000</v>
      </c>
      <c r="CU6" s="1" t="s">
        <v>165</v>
      </c>
      <c r="CV6" s="2" t="s">
        <v>166</v>
      </c>
      <c r="CW6" s="11">
        <v>187680000</v>
      </c>
      <c r="CX6" s="4">
        <f t="shared" si="38"/>
        <v>204</v>
      </c>
      <c r="CY6" s="11">
        <f t="shared" si="39"/>
        <v>37536000</v>
      </c>
      <c r="CZ6" s="1" t="s">
        <v>167</v>
      </c>
      <c r="DA6" s="2" t="s">
        <v>168</v>
      </c>
      <c r="DB6" s="11">
        <v>129720000</v>
      </c>
      <c r="DC6" s="4">
        <f t="shared" si="40"/>
        <v>141</v>
      </c>
      <c r="DD6" s="11">
        <f t="shared" si="41"/>
        <v>25944000</v>
      </c>
      <c r="DE6" s="1" t="s">
        <v>169</v>
      </c>
      <c r="DF6" s="2" t="s">
        <v>170</v>
      </c>
      <c r="DG6" s="11">
        <v>207000000</v>
      </c>
      <c r="DH6" s="4">
        <f t="shared" si="42"/>
        <v>225</v>
      </c>
      <c r="DI6" s="11">
        <f t="shared" si="43"/>
        <v>41400000</v>
      </c>
      <c r="DJ6" s="1" t="s">
        <v>171</v>
      </c>
      <c r="DK6" s="2" t="s">
        <v>172</v>
      </c>
      <c r="DL6" s="11">
        <v>198720000</v>
      </c>
      <c r="DM6" s="29">
        <f t="shared" si="44"/>
        <v>216</v>
      </c>
      <c r="DN6" s="11">
        <f t="shared" si="45"/>
        <v>39744000</v>
      </c>
      <c r="DO6" s="1" t="s">
        <v>173</v>
      </c>
      <c r="DP6" s="2" t="s">
        <v>174</v>
      </c>
      <c r="DQ6" s="24">
        <v>517040000</v>
      </c>
      <c r="DR6" s="4">
        <f t="shared" si="46"/>
        <v>562</v>
      </c>
      <c r="DS6" s="3">
        <f t="shared" si="47"/>
        <v>103408000</v>
      </c>
      <c r="DT6" s="1" t="s">
        <v>175</v>
      </c>
      <c r="DU6" s="2" t="s">
        <v>176</v>
      </c>
      <c r="DV6" s="11">
        <v>108560000</v>
      </c>
      <c r="DW6" s="4">
        <f t="shared" si="48"/>
        <v>118</v>
      </c>
      <c r="DX6" s="11">
        <f t="shared" si="49"/>
        <v>21712000</v>
      </c>
      <c r="DY6" s="1" t="s">
        <v>177</v>
      </c>
      <c r="DZ6" s="2" t="s">
        <v>178</v>
      </c>
      <c r="EA6" s="24">
        <v>365240000</v>
      </c>
      <c r="EB6" s="4">
        <f t="shared" si="50"/>
        <v>397</v>
      </c>
      <c r="EC6" s="11">
        <f t="shared" si="51"/>
        <v>73048000</v>
      </c>
      <c r="ED6" s="1" t="s">
        <v>179</v>
      </c>
      <c r="EE6" s="2" t="s">
        <v>180</v>
      </c>
      <c r="EF6" s="11">
        <v>196880000</v>
      </c>
      <c r="EG6" s="4">
        <f t="shared" si="52"/>
        <v>214</v>
      </c>
      <c r="EH6" s="11">
        <f t="shared" si="53"/>
        <v>39376000</v>
      </c>
      <c r="EI6" s="1" t="s">
        <v>181</v>
      </c>
      <c r="EJ6" s="2" t="s">
        <v>182</v>
      </c>
      <c r="EK6" s="24">
        <v>533600000</v>
      </c>
      <c r="EL6" s="4">
        <f t="shared" si="54"/>
        <v>580</v>
      </c>
      <c r="EM6" s="11">
        <f t="shared" si="55"/>
        <v>106720000</v>
      </c>
      <c r="EN6" s="1" t="s">
        <v>183</v>
      </c>
      <c r="EO6" s="2" t="s">
        <v>184</v>
      </c>
      <c r="EP6" s="11">
        <v>194120000</v>
      </c>
      <c r="EQ6" s="4">
        <f t="shared" si="56"/>
        <v>211</v>
      </c>
      <c r="ER6" s="11">
        <f t="shared" si="57"/>
        <v>38824000</v>
      </c>
      <c r="ES6" s="1" t="s">
        <v>185</v>
      </c>
      <c r="ET6" s="2" t="s">
        <v>186</v>
      </c>
      <c r="EU6" s="24">
        <v>258520000</v>
      </c>
      <c r="EV6" s="4">
        <f t="shared" si="58"/>
        <v>281</v>
      </c>
      <c r="EW6" s="11">
        <f t="shared" si="59"/>
        <v>51704000</v>
      </c>
      <c r="EX6" s="1" t="s">
        <v>187</v>
      </c>
      <c r="EY6" s="2" t="s">
        <v>188</v>
      </c>
      <c r="EZ6" s="24">
        <v>131560000</v>
      </c>
      <c r="FA6" s="4">
        <f t="shared" si="60"/>
        <v>143</v>
      </c>
      <c r="FB6" s="11">
        <f t="shared" si="61"/>
        <v>26312000</v>
      </c>
      <c r="FC6" s="1" t="s">
        <v>189</v>
      </c>
      <c r="FD6" s="2" t="s">
        <v>190</v>
      </c>
      <c r="FE6" s="24">
        <v>117760000</v>
      </c>
      <c r="FF6" s="4">
        <f t="shared" si="62"/>
        <v>128</v>
      </c>
      <c r="FG6" s="11">
        <f t="shared" si="63"/>
        <v>23552000</v>
      </c>
      <c r="FH6" s="1" t="s">
        <v>191</v>
      </c>
      <c r="FI6" s="2" t="s">
        <v>192</v>
      </c>
      <c r="FJ6" s="24">
        <v>246560000</v>
      </c>
      <c r="FK6" s="4">
        <f t="shared" si="64"/>
        <v>268</v>
      </c>
      <c r="FL6" s="11">
        <f t="shared" si="65"/>
        <v>49312000</v>
      </c>
      <c r="FM6" s="1" t="s">
        <v>193</v>
      </c>
      <c r="FN6" s="2" t="s">
        <v>194</v>
      </c>
      <c r="FO6" s="11">
        <v>369840000</v>
      </c>
      <c r="FP6" s="4">
        <f t="shared" si="66"/>
        <v>402</v>
      </c>
      <c r="FQ6" s="11">
        <f t="shared" si="67"/>
        <v>73968000</v>
      </c>
      <c r="FR6" s="1" t="s">
        <v>195</v>
      </c>
      <c r="FS6" s="2" t="s">
        <v>196</v>
      </c>
      <c r="FT6" s="24">
        <v>336720000</v>
      </c>
      <c r="FU6" s="4">
        <f t="shared" si="68"/>
        <v>366</v>
      </c>
      <c r="FV6" s="11">
        <f t="shared" si="69"/>
        <v>67344000</v>
      </c>
      <c r="FW6" s="1" t="s">
        <v>197</v>
      </c>
      <c r="FX6" s="2" t="s">
        <v>198</v>
      </c>
      <c r="FY6" s="24">
        <v>91080000</v>
      </c>
      <c r="FZ6" s="4">
        <f t="shared" si="70"/>
        <v>99</v>
      </c>
      <c r="GA6" s="11">
        <f t="shared" si="71"/>
        <v>18216000</v>
      </c>
      <c r="GB6" s="1" t="s">
        <v>199</v>
      </c>
      <c r="GC6" s="2" t="s">
        <v>200</v>
      </c>
      <c r="GD6" s="24">
        <v>235520000</v>
      </c>
      <c r="GE6" s="4">
        <f t="shared" si="72"/>
        <v>256</v>
      </c>
      <c r="GF6" s="11">
        <f t="shared" si="73"/>
        <v>47104000</v>
      </c>
      <c r="GG6" s="1" t="s">
        <v>201</v>
      </c>
      <c r="GH6" s="2" t="s">
        <v>202</v>
      </c>
      <c r="GI6" s="24">
        <v>117760000</v>
      </c>
      <c r="GJ6" s="4">
        <f t="shared" si="74"/>
        <v>128</v>
      </c>
      <c r="GK6" s="11">
        <f t="shared" si="75"/>
        <v>23552000</v>
      </c>
      <c r="GL6" s="1" t="s">
        <v>203</v>
      </c>
      <c r="GM6" s="2" t="s">
        <v>204</v>
      </c>
      <c r="GN6" s="24">
        <v>141680000</v>
      </c>
      <c r="GO6" s="4">
        <f t="shared" si="76"/>
        <v>154</v>
      </c>
      <c r="GP6" s="11">
        <f t="shared" si="77"/>
        <v>28336000</v>
      </c>
      <c r="GQ6" s="1" t="s">
        <v>205</v>
      </c>
      <c r="GR6" s="2" t="s">
        <v>206</v>
      </c>
      <c r="GS6" s="24">
        <v>210680000</v>
      </c>
      <c r="GT6" s="4">
        <f t="shared" si="78"/>
        <v>229</v>
      </c>
      <c r="GU6" s="18">
        <f t="shared" si="79"/>
        <v>42136000</v>
      </c>
    </row>
    <row r="7" spans="3:203" x14ac:dyDescent="0.25">
      <c r="C7" s="4">
        <v>3</v>
      </c>
      <c r="D7" s="1" t="s">
        <v>207</v>
      </c>
      <c r="E7" s="2" t="s">
        <v>208</v>
      </c>
      <c r="F7" s="3">
        <v>490360000</v>
      </c>
      <c r="G7" s="4">
        <f t="shared" si="0"/>
        <v>533</v>
      </c>
      <c r="H7" s="3">
        <f t="shared" si="1"/>
        <v>98072000</v>
      </c>
      <c r="I7" s="1" t="s">
        <v>209</v>
      </c>
      <c r="J7" s="2" t="s">
        <v>210</v>
      </c>
      <c r="K7" s="11">
        <v>116840000</v>
      </c>
      <c r="L7" s="4">
        <f t="shared" si="2"/>
        <v>127</v>
      </c>
      <c r="M7" s="11">
        <f t="shared" si="3"/>
        <v>23368000</v>
      </c>
      <c r="N7" s="1" t="s">
        <v>211</v>
      </c>
      <c r="O7" s="2" t="s">
        <v>212</v>
      </c>
      <c r="P7" s="13">
        <v>403880000</v>
      </c>
      <c r="Q7" s="4">
        <f t="shared" si="4"/>
        <v>439</v>
      </c>
      <c r="R7" s="11">
        <f t="shared" si="5"/>
        <v>80776000</v>
      </c>
      <c r="S7" s="1" t="s">
        <v>213</v>
      </c>
      <c r="T7" s="2" t="s">
        <v>214</v>
      </c>
      <c r="U7" s="14">
        <v>165600000</v>
      </c>
      <c r="V7" s="4">
        <f t="shared" si="6"/>
        <v>180</v>
      </c>
      <c r="W7" s="11">
        <f t="shared" si="7"/>
        <v>33120000</v>
      </c>
      <c r="X7" s="1" t="s">
        <v>215</v>
      </c>
      <c r="Y7" s="2" t="s">
        <v>216</v>
      </c>
      <c r="Z7" s="3">
        <v>128800000</v>
      </c>
      <c r="AA7" s="4">
        <f t="shared" si="8"/>
        <v>140</v>
      </c>
      <c r="AB7" s="15">
        <f t="shared" si="9"/>
        <v>25760000</v>
      </c>
      <c r="AC7" s="1" t="s">
        <v>217</v>
      </c>
      <c r="AD7" s="2" t="s">
        <v>218</v>
      </c>
      <c r="AE7" s="11">
        <v>414000000</v>
      </c>
      <c r="AF7" s="4">
        <f t="shared" si="10"/>
        <v>450</v>
      </c>
      <c r="AG7" s="11">
        <f t="shared" si="11"/>
        <v>82800000</v>
      </c>
      <c r="AH7" s="1" t="s">
        <v>219</v>
      </c>
      <c r="AI7" s="2" t="s">
        <v>220</v>
      </c>
      <c r="AJ7" s="10">
        <v>170200000</v>
      </c>
      <c r="AK7" s="4">
        <f t="shared" si="12"/>
        <v>185</v>
      </c>
      <c r="AL7" s="3">
        <f t="shared" si="13"/>
        <v>34040000</v>
      </c>
      <c r="AM7" s="1" t="s">
        <v>221</v>
      </c>
      <c r="AN7" s="2" t="s">
        <v>222</v>
      </c>
      <c r="AO7" s="11">
        <v>161000000</v>
      </c>
      <c r="AP7" s="4">
        <f t="shared" si="14"/>
        <v>175</v>
      </c>
      <c r="AQ7" s="11">
        <f t="shared" si="15"/>
        <v>32200000</v>
      </c>
      <c r="AR7" s="1" t="s">
        <v>223</v>
      </c>
      <c r="AS7" s="2" t="s">
        <v>224</v>
      </c>
      <c r="AT7" s="11">
        <v>187680000</v>
      </c>
      <c r="AU7" s="4">
        <f t="shared" si="16"/>
        <v>204</v>
      </c>
      <c r="AV7" s="11">
        <f t="shared" si="17"/>
        <v>37536000</v>
      </c>
      <c r="AW7" s="1" t="s">
        <v>225</v>
      </c>
      <c r="AX7" s="2" t="s">
        <v>226</v>
      </c>
      <c r="AY7" s="11">
        <v>234600000</v>
      </c>
      <c r="AZ7" s="4">
        <f t="shared" si="18"/>
        <v>255</v>
      </c>
      <c r="BA7" s="11">
        <f t="shared" si="19"/>
        <v>46920000</v>
      </c>
      <c r="BB7" s="1" t="s">
        <v>227</v>
      </c>
      <c r="BC7" s="2" t="s">
        <v>228</v>
      </c>
      <c r="BD7" s="11">
        <v>157320000</v>
      </c>
      <c r="BE7" s="4">
        <f t="shared" si="20"/>
        <v>171</v>
      </c>
      <c r="BF7" s="19">
        <f t="shared" si="21"/>
        <v>31464000</v>
      </c>
      <c r="BG7" s="1" t="s">
        <v>229</v>
      </c>
      <c r="BH7" s="2" t="s">
        <v>230</v>
      </c>
      <c r="BI7" s="11">
        <v>629280000</v>
      </c>
      <c r="BJ7" s="4">
        <f t="shared" si="22"/>
        <v>684</v>
      </c>
      <c r="BK7" s="11">
        <f t="shared" si="23"/>
        <v>125856000</v>
      </c>
      <c r="BL7" s="1" t="s">
        <v>231</v>
      </c>
      <c r="BM7" s="2" t="s">
        <v>232</v>
      </c>
      <c r="BN7" s="11">
        <v>154560000</v>
      </c>
      <c r="BO7" s="4">
        <f t="shared" si="24"/>
        <v>168</v>
      </c>
      <c r="BP7" s="11">
        <f t="shared" si="25"/>
        <v>30912000</v>
      </c>
      <c r="BQ7" s="1" t="s">
        <v>233</v>
      </c>
      <c r="BR7" s="2" t="s">
        <v>234</v>
      </c>
      <c r="BS7" s="11">
        <v>116840000</v>
      </c>
      <c r="BT7" s="4">
        <f t="shared" si="26"/>
        <v>127</v>
      </c>
      <c r="BU7" s="11">
        <f t="shared" si="27"/>
        <v>23368000</v>
      </c>
      <c r="BV7" s="1" t="s">
        <v>235</v>
      </c>
      <c r="BW7" s="2" t="s">
        <v>236</v>
      </c>
      <c r="BX7" s="11">
        <v>96600000</v>
      </c>
      <c r="BY7" s="4">
        <f t="shared" si="28"/>
        <v>105</v>
      </c>
      <c r="BZ7" s="11">
        <f t="shared" si="29"/>
        <v>19320000</v>
      </c>
      <c r="CA7" s="1" t="s">
        <v>237</v>
      </c>
      <c r="CB7" s="2" t="s">
        <v>238</v>
      </c>
      <c r="CC7" s="11">
        <v>109480000</v>
      </c>
      <c r="CD7" s="4">
        <f t="shared" si="30"/>
        <v>119</v>
      </c>
      <c r="CE7" s="11">
        <f t="shared" si="31"/>
        <v>21896000</v>
      </c>
      <c r="CF7" s="1" t="s">
        <v>239</v>
      </c>
      <c r="CG7" s="2" t="s">
        <v>240</v>
      </c>
      <c r="CH7" s="3">
        <v>110400000</v>
      </c>
      <c r="CI7" s="4">
        <f t="shared" si="32"/>
        <v>120</v>
      </c>
      <c r="CJ7" s="11">
        <f t="shared" si="33"/>
        <v>22080000</v>
      </c>
      <c r="CK7" s="1" t="s">
        <v>241</v>
      </c>
      <c r="CL7" s="2" t="s">
        <v>242</v>
      </c>
      <c r="CM7" s="11">
        <v>117760000</v>
      </c>
      <c r="CN7" s="4">
        <f t="shared" si="34"/>
        <v>128</v>
      </c>
      <c r="CO7" s="11">
        <f t="shared" si="35"/>
        <v>23552000</v>
      </c>
      <c r="CP7" s="1" t="s">
        <v>243</v>
      </c>
      <c r="CQ7" s="2" t="s">
        <v>244</v>
      </c>
      <c r="CR7" s="11">
        <v>165600000</v>
      </c>
      <c r="CS7" s="4">
        <f t="shared" si="36"/>
        <v>180</v>
      </c>
      <c r="CT7" s="11">
        <f t="shared" si="37"/>
        <v>33120000</v>
      </c>
      <c r="CU7" s="1" t="s">
        <v>245</v>
      </c>
      <c r="CV7" s="2" t="s">
        <v>246</v>
      </c>
      <c r="CW7" s="11">
        <v>120520000</v>
      </c>
      <c r="CX7" s="4">
        <f t="shared" si="38"/>
        <v>131</v>
      </c>
      <c r="CY7" s="11">
        <f t="shared" si="39"/>
        <v>24104000</v>
      </c>
      <c r="CZ7" s="1" t="s">
        <v>247</v>
      </c>
      <c r="DA7" s="2" t="s">
        <v>248</v>
      </c>
      <c r="DB7" s="11">
        <v>178480000</v>
      </c>
      <c r="DC7" s="4">
        <f t="shared" si="40"/>
        <v>194</v>
      </c>
      <c r="DD7" s="11">
        <f t="shared" si="41"/>
        <v>35696000</v>
      </c>
      <c r="DE7" s="1" t="s">
        <v>249</v>
      </c>
      <c r="DF7" s="2" t="s">
        <v>250</v>
      </c>
      <c r="DG7" s="11">
        <v>269560000</v>
      </c>
      <c r="DH7" s="4">
        <f t="shared" si="42"/>
        <v>293</v>
      </c>
      <c r="DI7" s="11">
        <f t="shared" si="43"/>
        <v>53912000</v>
      </c>
      <c r="DJ7" s="1" t="s">
        <v>251</v>
      </c>
      <c r="DK7" s="2" t="s">
        <v>252</v>
      </c>
      <c r="DL7" s="11">
        <v>683560000</v>
      </c>
      <c r="DM7" s="29">
        <f t="shared" si="44"/>
        <v>743</v>
      </c>
      <c r="DN7" s="11">
        <f t="shared" si="45"/>
        <v>136712000</v>
      </c>
      <c r="DO7" s="1" t="s">
        <v>253</v>
      </c>
      <c r="DP7" s="2" t="s">
        <v>254</v>
      </c>
      <c r="DQ7" s="24">
        <v>141680000</v>
      </c>
      <c r="DR7" s="4">
        <f t="shared" si="46"/>
        <v>154</v>
      </c>
      <c r="DS7" s="3">
        <f t="shared" si="47"/>
        <v>28336000</v>
      </c>
      <c r="DT7" s="1" t="s">
        <v>255</v>
      </c>
      <c r="DU7" s="2" t="s">
        <v>256</v>
      </c>
      <c r="DV7" s="11">
        <v>156400000</v>
      </c>
      <c r="DW7" s="4">
        <f t="shared" si="48"/>
        <v>170</v>
      </c>
      <c r="DX7" s="11">
        <f t="shared" si="49"/>
        <v>31280000</v>
      </c>
      <c r="DY7" s="1" t="s">
        <v>257</v>
      </c>
      <c r="DZ7" s="2" t="s">
        <v>258</v>
      </c>
      <c r="EA7" s="24">
        <v>216200000</v>
      </c>
      <c r="EB7" s="4">
        <f t="shared" si="50"/>
        <v>235</v>
      </c>
      <c r="EC7" s="11">
        <f t="shared" si="51"/>
        <v>43240000</v>
      </c>
      <c r="ED7" s="1" t="s">
        <v>259</v>
      </c>
      <c r="EE7" s="2" t="s">
        <v>260</v>
      </c>
      <c r="EF7" s="11">
        <v>368000000</v>
      </c>
      <c r="EG7" s="4">
        <f t="shared" si="52"/>
        <v>400</v>
      </c>
      <c r="EH7" s="11">
        <f t="shared" si="53"/>
        <v>73600000</v>
      </c>
      <c r="EI7" s="1" t="s">
        <v>261</v>
      </c>
      <c r="EJ7" s="2" t="s">
        <v>262</v>
      </c>
      <c r="EK7" s="24">
        <v>226320000</v>
      </c>
      <c r="EL7" s="4">
        <f t="shared" si="54"/>
        <v>246</v>
      </c>
      <c r="EM7" s="11">
        <f t="shared" si="55"/>
        <v>45264000</v>
      </c>
      <c r="EN7" s="1" t="s">
        <v>263</v>
      </c>
      <c r="EO7" s="2" t="s">
        <v>264</v>
      </c>
      <c r="EP7" s="11">
        <v>149960000</v>
      </c>
      <c r="EQ7" s="4">
        <f t="shared" si="56"/>
        <v>163</v>
      </c>
      <c r="ER7" s="11">
        <f t="shared" si="57"/>
        <v>29992000</v>
      </c>
      <c r="ES7" s="1" t="s">
        <v>265</v>
      </c>
      <c r="ET7" s="2" t="s">
        <v>266</v>
      </c>
      <c r="EU7" s="24">
        <v>525320000</v>
      </c>
      <c r="EV7" s="4">
        <f t="shared" si="58"/>
        <v>571</v>
      </c>
      <c r="EW7" s="11">
        <f t="shared" si="59"/>
        <v>105064000</v>
      </c>
      <c r="EX7" s="1" t="s">
        <v>267</v>
      </c>
      <c r="EY7" s="2" t="s">
        <v>268</v>
      </c>
      <c r="EZ7" s="24">
        <v>97520000</v>
      </c>
      <c r="FA7" s="4">
        <f t="shared" si="60"/>
        <v>106</v>
      </c>
      <c r="FB7" s="11">
        <f t="shared" si="61"/>
        <v>19504000</v>
      </c>
      <c r="FC7" s="1" t="s">
        <v>269</v>
      </c>
      <c r="FD7" s="2" t="s">
        <v>270</v>
      </c>
      <c r="FE7" s="24">
        <v>368920000</v>
      </c>
      <c r="FF7" s="4">
        <f t="shared" si="62"/>
        <v>401</v>
      </c>
      <c r="FG7" s="11">
        <f t="shared" si="63"/>
        <v>73784000</v>
      </c>
      <c r="FH7" s="1" t="s">
        <v>271</v>
      </c>
      <c r="FI7" s="2" t="s">
        <v>272</v>
      </c>
      <c r="FJ7" s="24">
        <v>180320000</v>
      </c>
      <c r="FK7" s="4">
        <f t="shared" si="64"/>
        <v>196</v>
      </c>
      <c r="FL7" s="11">
        <f t="shared" si="65"/>
        <v>36064000</v>
      </c>
      <c r="FM7" s="1" t="s">
        <v>273</v>
      </c>
      <c r="FN7" s="2" t="s">
        <v>274</v>
      </c>
      <c r="FO7" s="11">
        <v>253920000</v>
      </c>
      <c r="FP7" s="4">
        <f t="shared" si="66"/>
        <v>276</v>
      </c>
      <c r="FQ7" s="11">
        <f t="shared" si="67"/>
        <v>50784000</v>
      </c>
      <c r="FR7" s="1" t="s">
        <v>275</v>
      </c>
      <c r="FS7" s="2" t="s">
        <v>276</v>
      </c>
      <c r="FT7" s="24">
        <v>324760000</v>
      </c>
      <c r="FU7" s="4">
        <f t="shared" si="68"/>
        <v>353</v>
      </c>
      <c r="FV7" s="11">
        <f t="shared" si="69"/>
        <v>64952000</v>
      </c>
      <c r="FW7" s="1" t="s">
        <v>277</v>
      </c>
      <c r="FX7" s="2" t="s">
        <v>278</v>
      </c>
      <c r="FY7" s="24">
        <v>296240000</v>
      </c>
      <c r="FZ7" s="4">
        <f t="shared" si="70"/>
        <v>322</v>
      </c>
      <c r="GA7" s="11">
        <f t="shared" si="71"/>
        <v>59248000</v>
      </c>
      <c r="GB7" s="1" t="s">
        <v>279</v>
      </c>
      <c r="GC7" s="2" t="s">
        <v>280</v>
      </c>
      <c r="GD7" s="24">
        <v>268640000</v>
      </c>
      <c r="GE7" s="4">
        <f t="shared" si="72"/>
        <v>292</v>
      </c>
      <c r="GF7" s="11">
        <f t="shared" si="73"/>
        <v>53728000</v>
      </c>
      <c r="GG7" s="1" t="s">
        <v>281</v>
      </c>
      <c r="GH7" s="2" t="s">
        <v>282</v>
      </c>
      <c r="GI7" s="24">
        <v>600760000</v>
      </c>
      <c r="GJ7" s="4">
        <f t="shared" si="74"/>
        <v>653</v>
      </c>
      <c r="GK7" s="11">
        <f t="shared" si="75"/>
        <v>120152000</v>
      </c>
      <c r="GL7" s="1" t="s">
        <v>283</v>
      </c>
      <c r="GM7" s="2" t="s">
        <v>284</v>
      </c>
      <c r="GN7" s="24">
        <v>155480000</v>
      </c>
      <c r="GO7" s="4">
        <f t="shared" si="76"/>
        <v>169</v>
      </c>
      <c r="GP7" s="11">
        <f t="shared" si="77"/>
        <v>31096000</v>
      </c>
      <c r="GQ7" s="1" t="s">
        <v>285</v>
      </c>
      <c r="GR7" s="2" t="s">
        <v>286</v>
      </c>
      <c r="GS7" s="24">
        <v>127880000</v>
      </c>
      <c r="GT7" s="4">
        <f t="shared" si="78"/>
        <v>139</v>
      </c>
      <c r="GU7" s="18">
        <f t="shared" si="79"/>
        <v>25576000</v>
      </c>
    </row>
    <row r="8" spans="3:203" x14ac:dyDescent="0.25">
      <c r="C8" s="4">
        <v>4</v>
      </c>
      <c r="D8" s="1" t="s">
        <v>287</v>
      </c>
      <c r="E8" s="2" t="s">
        <v>288</v>
      </c>
      <c r="F8" s="3">
        <v>158240000</v>
      </c>
      <c r="G8" s="4">
        <f t="shared" si="0"/>
        <v>172</v>
      </c>
      <c r="H8" s="3">
        <f t="shared" si="1"/>
        <v>31648000</v>
      </c>
      <c r="I8" s="1" t="s">
        <v>289</v>
      </c>
      <c r="J8" s="2" t="s">
        <v>290</v>
      </c>
      <c r="K8" s="11">
        <v>82800000</v>
      </c>
      <c r="L8" s="4">
        <f t="shared" si="2"/>
        <v>90</v>
      </c>
      <c r="M8" s="11">
        <f t="shared" si="3"/>
        <v>16560000</v>
      </c>
      <c r="N8" s="1" t="s">
        <v>291</v>
      </c>
      <c r="O8" s="2" t="s">
        <v>292</v>
      </c>
      <c r="P8" s="13">
        <v>386400000</v>
      </c>
      <c r="Q8" s="4">
        <f t="shared" si="4"/>
        <v>420</v>
      </c>
      <c r="R8" s="11">
        <f t="shared" si="5"/>
        <v>77280000</v>
      </c>
      <c r="S8" s="1" t="s">
        <v>293</v>
      </c>
      <c r="T8" s="2" t="s">
        <v>294</v>
      </c>
      <c r="U8" s="14">
        <v>335800000</v>
      </c>
      <c r="V8" s="4">
        <f t="shared" si="6"/>
        <v>365</v>
      </c>
      <c r="W8" s="11">
        <f t="shared" si="7"/>
        <v>67160000</v>
      </c>
      <c r="X8" s="1" t="s">
        <v>295</v>
      </c>
      <c r="Y8" s="2" t="s">
        <v>296</v>
      </c>
      <c r="Z8" s="3">
        <v>356040000</v>
      </c>
      <c r="AA8" s="4">
        <f t="shared" si="8"/>
        <v>387</v>
      </c>
      <c r="AB8" s="15">
        <f t="shared" si="9"/>
        <v>71208000</v>
      </c>
      <c r="AC8" s="1" t="s">
        <v>297</v>
      </c>
      <c r="AD8" s="2" t="s">
        <v>298</v>
      </c>
      <c r="AE8" s="11">
        <v>162840000</v>
      </c>
      <c r="AF8" s="4">
        <f t="shared" si="10"/>
        <v>177</v>
      </c>
      <c r="AG8" s="11">
        <f t="shared" si="11"/>
        <v>32568000</v>
      </c>
      <c r="AH8" s="1" t="s">
        <v>299</v>
      </c>
      <c r="AI8" s="2" t="s">
        <v>300</v>
      </c>
      <c r="AJ8" s="10">
        <v>184920000</v>
      </c>
      <c r="AK8" s="4">
        <f t="shared" si="12"/>
        <v>201</v>
      </c>
      <c r="AL8" s="3">
        <f t="shared" si="13"/>
        <v>36984000</v>
      </c>
      <c r="AM8" s="1" t="s">
        <v>301</v>
      </c>
      <c r="AN8" s="2" t="s">
        <v>302</v>
      </c>
      <c r="AO8" s="11">
        <v>150880000</v>
      </c>
      <c r="AP8" s="4">
        <f t="shared" si="14"/>
        <v>164</v>
      </c>
      <c r="AQ8" s="11">
        <f t="shared" si="15"/>
        <v>30176000</v>
      </c>
      <c r="AR8" s="1" t="s">
        <v>303</v>
      </c>
      <c r="AS8" s="2" t="s">
        <v>304</v>
      </c>
      <c r="AT8" s="11">
        <v>214360000</v>
      </c>
      <c r="AU8" s="4">
        <f t="shared" si="16"/>
        <v>233</v>
      </c>
      <c r="AV8" s="11">
        <f t="shared" si="17"/>
        <v>42872000</v>
      </c>
      <c r="AW8" s="1" t="s">
        <v>305</v>
      </c>
      <c r="AX8" s="2" t="s">
        <v>306</v>
      </c>
      <c r="AY8" s="11">
        <v>345920000</v>
      </c>
      <c r="AZ8" s="4">
        <f t="shared" si="18"/>
        <v>376</v>
      </c>
      <c r="BA8" s="11">
        <f t="shared" si="19"/>
        <v>69184000</v>
      </c>
      <c r="BB8" s="1" t="s">
        <v>307</v>
      </c>
      <c r="BC8" s="2" t="s">
        <v>308</v>
      </c>
      <c r="BD8" s="11">
        <v>297160000</v>
      </c>
      <c r="BE8" s="4">
        <f t="shared" si="20"/>
        <v>323</v>
      </c>
      <c r="BF8" s="19">
        <f t="shared" si="21"/>
        <v>59432000</v>
      </c>
      <c r="BG8" s="1" t="s">
        <v>309</v>
      </c>
      <c r="BH8" s="2" t="s">
        <v>310</v>
      </c>
      <c r="BI8" s="11">
        <v>497720000</v>
      </c>
      <c r="BJ8" s="4">
        <f t="shared" si="22"/>
        <v>541</v>
      </c>
      <c r="BK8" s="11">
        <f t="shared" si="23"/>
        <v>99544000</v>
      </c>
      <c r="BL8" s="1" t="s">
        <v>311</v>
      </c>
      <c r="BM8" s="2" t="s">
        <v>312</v>
      </c>
      <c r="BN8" s="11">
        <v>379960000</v>
      </c>
      <c r="BO8" s="4">
        <f t="shared" si="24"/>
        <v>413</v>
      </c>
      <c r="BP8" s="11">
        <f t="shared" si="25"/>
        <v>75992000</v>
      </c>
      <c r="BQ8" s="1" t="s">
        <v>313</v>
      </c>
      <c r="BR8" s="2" t="s">
        <v>314</v>
      </c>
      <c r="BS8" s="11">
        <v>188600000</v>
      </c>
      <c r="BT8" s="4">
        <f t="shared" si="26"/>
        <v>205</v>
      </c>
      <c r="BU8" s="11">
        <f t="shared" si="27"/>
        <v>37720000</v>
      </c>
      <c r="BV8" s="1" t="s">
        <v>315</v>
      </c>
      <c r="BW8" s="2" t="s">
        <v>316</v>
      </c>
      <c r="BX8" s="11">
        <v>278760000</v>
      </c>
      <c r="BY8" s="4">
        <f t="shared" si="28"/>
        <v>303</v>
      </c>
      <c r="BZ8" s="11">
        <f t="shared" si="29"/>
        <v>55752000</v>
      </c>
      <c r="CA8" s="1" t="s">
        <v>317</v>
      </c>
      <c r="CB8" s="2" t="s">
        <v>318</v>
      </c>
      <c r="CC8" s="11">
        <v>276000000</v>
      </c>
      <c r="CD8" s="4">
        <f t="shared" si="30"/>
        <v>300</v>
      </c>
      <c r="CE8" s="11">
        <f t="shared" si="31"/>
        <v>55200000</v>
      </c>
      <c r="CF8" s="1" t="s">
        <v>319</v>
      </c>
      <c r="CG8" s="2" t="s">
        <v>320</v>
      </c>
      <c r="CH8" s="3">
        <v>324760000</v>
      </c>
      <c r="CI8" s="4">
        <f t="shared" si="32"/>
        <v>353</v>
      </c>
      <c r="CJ8" s="11">
        <f t="shared" si="33"/>
        <v>64952000</v>
      </c>
      <c r="CK8" s="1" t="s">
        <v>321</v>
      </c>
      <c r="CL8" s="2" t="s">
        <v>322</v>
      </c>
      <c r="CM8" s="11">
        <v>84640000</v>
      </c>
      <c r="CN8" s="4">
        <f t="shared" si="34"/>
        <v>92</v>
      </c>
      <c r="CO8" s="11">
        <f t="shared" si="35"/>
        <v>16928000</v>
      </c>
      <c r="CP8" s="1" t="s">
        <v>323</v>
      </c>
      <c r="CQ8" s="2" t="s">
        <v>324</v>
      </c>
      <c r="CR8" s="11">
        <v>115000000</v>
      </c>
      <c r="CS8" s="4">
        <f t="shared" si="36"/>
        <v>125</v>
      </c>
      <c r="CT8" s="11">
        <f t="shared" si="37"/>
        <v>23000000</v>
      </c>
      <c r="CU8" s="1" t="s">
        <v>325</v>
      </c>
      <c r="CV8" s="2" t="s">
        <v>326</v>
      </c>
      <c r="CW8" s="11">
        <v>156400000</v>
      </c>
      <c r="CX8" s="4">
        <f t="shared" si="38"/>
        <v>170</v>
      </c>
      <c r="CY8" s="11">
        <f t="shared" si="39"/>
        <v>31280000</v>
      </c>
      <c r="CZ8" s="1" t="s">
        <v>327</v>
      </c>
      <c r="DA8" s="2" t="s">
        <v>328</v>
      </c>
      <c r="DB8" s="11">
        <v>273240000</v>
      </c>
      <c r="DC8" s="4">
        <f t="shared" si="40"/>
        <v>297</v>
      </c>
      <c r="DD8" s="11">
        <f t="shared" si="41"/>
        <v>54648000</v>
      </c>
      <c r="DE8" s="1" t="s">
        <v>329</v>
      </c>
      <c r="DF8" s="2" t="s">
        <v>330</v>
      </c>
      <c r="DG8" s="11">
        <v>222640000</v>
      </c>
      <c r="DH8" s="4">
        <f t="shared" si="42"/>
        <v>242</v>
      </c>
      <c r="DI8" s="11">
        <f t="shared" si="43"/>
        <v>44528000</v>
      </c>
      <c r="DJ8" s="1" t="s">
        <v>331</v>
      </c>
      <c r="DK8" s="2" t="s">
        <v>332</v>
      </c>
      <c r="DL8" s="11">
        <v>80960000</v>
      </c>
      <c r="DM8" s="29">
        <f t="shared" si="44"/>
        <v>88</v>
      </c>
      <c r="DN8" s="11">
        <f t="shared" si="45"/>
        <v>16192000</v>
      </c>
      <c r="DO8" s="1" t="s">
        <v>333</v>
      </c>
      <c r="DP8" s="2" t="s">
        <v>334</v>
      </c>
      <c r="DQ8" s="24">
        <v>326600000</v>
      </c>
      <c r="DR8" s="4">
        <f t="shared" si="46"/>
        <v>355</v>
      </c>
      <c r="DS8" s="3">
        <f t="shared" si="47"/>
        <v>65320000</v>
      </c>
      <c r="DT8" s="1" t="s">
        <v>335</v>
      </c>
      <c r="DU8" s="2" t="s">
        <v>336</v>
      </c>
      <c r="DV8" s="11">
        <v>187680000</v>
      </c>
      <c r="DW8" s="4">
        <f t="shared" si="48"/>
        <v>204</v>
      </c>
      <c r="DX8" s="11">
        <f t="shared" si="49"/>
        <v>37536000</v>
      </c>
      <c r="DY8" s="1" t="s">
        <v>337</v>
      </c>
      <c r="DZ8" s="2" t="s">
        <v>338</v>
      </c>
      <c r="EA8" s="24">
        <v>258520000</v>
      </c>
      <c r="EB8" s="4">
        <f t="shared" si="50"/>
        <v>281</v>
      </c>
      <c r="EC8" s="11">
        <f t="shared" si="51"/>
        <v>51704000</v>
      </c>
      <c r="ED8" s="1" t="s">
        <v>339</v>
      </c>
      <c r="EE8" s="2" t="s">
        <v>340</v>
      </c>
      <c r="EF8" s="11">
        <v>173880000</v>
      </c>
      <c r="EG8" s="4">
        <f t="shared" si="52"/>
        <v>189</v>
      </c>
      <c r="EH8" s="11">
        <f t="shared" si="53"/>
        <v>34776000</v>
      </c>
      <c r="EI8" s="1" t="s">
        <v>341</v>
      </c>
      <c r="EJ8" s="2" t="s">
        <v>342</v>
      </c>
      <c r="EK8" s="24">
        <v>92920000</v>
      </c>
      <c r="EL8" s="4">
        <f t="shared" si="54"/>
        <v>101</v>
      </c>
      <c r="EM8" s="11">
        <f t="shared" si="55"/>
        <v>18584000</v>
      </c>
      <c r="EN8" s="1" t="s">
        <v>343</v>
      </c>
      <c r="EO8" s="2" t="s">
        <v>344</v>
      </c>
      <c r="EP8" s="11">
        <v>195040000</v>
      </c>
      <c r="EQ8" s="4">
        <f t="shared" si="56"/>
        <v>212</v>
      </c>
      <c r="ER8" s="11">
        <f t="shared" si="57"/>
        <v>39008000</v>
      </c>
      <c r="ES8" s="1" t="s">
        <v>345</v>
      </c>
      <c r="ET8" s="2" t="s">
        <v>346</v>
      </c>
      <c r="EU8" s="24">
        <v>397440000</v>
      </c>
      <c r="EV8" s="4">
        <f t="shared" si="58"/>
        <v>432</v>
      </c>
      <c r="EW8" s="11">
        <f t="shared" si="59"/>
        <v>79488000</v>
      </c>
      <c r="EX8" s="1" t="s">
        <v>347</v>
      </c>
      <c r="EY8" s="2" t="s">
        <v>348</v>
      </c>
      <c r="EZ8" s="24">
        <v>175720000</v>
      </c>
      <c r="FA8" s="4">
        <f t="shared" si="60"/>
        <v>191</v>
      </c>
      <c r="FB8" s="11">
        <f t="shared" si="61"/>
        <v>35144000</v>
      </c>
      <c r="FC8" s="1" t="s">
        <v>349</v>
      </c>
      <c r="FD8" s="2" t="s">
        <v>350</v>
      </c>
      <c r="FE8" s="24">
        <v>241960000</v>
      </c>
      <c r="FF8" s="4">
        <f t="shared" si="62"/>
        <v>263</v>
      </c>
      <c r="FG8" s="11">
        <f t="shared" si="63"/>
        <v>48392000</v>
      </c>
      <c r="FH8" s="1" t="s">
        <v>351</v>
      </c>
      <c r="FI8" s="2" t="s">
        <v>352</v>
      </c>
      <c r="FJ8" s="24">
        <v>116840000</v>
      </c>
      <c r="FK8" s="4">
        <f t="shared" si="64"/>
        <v>127</v>
      </c>
      <c r="FL8" s="11">
        <f t="shared" si="65"/>
        <v>23368000</v>
      </c>
      <c r="FM8" s="1" t="s">
        <v>353</v>
      </c>
      <c r="FN8" s="2" t="s">
        <v>354</v>
      </c>
      <c r="FO8" s="11">
        <v>314640000</v>
      </c>
      <c r="FP8" s="4">
        <f t="shared" si="66"/>
        <v>342</v>
      </c>
      <c r="FQ8" s="11">
        <f t="shared" si="67"/>
        <v>62928000</v>
      </c>
      <c r="FR8" s="1" t="s">
        <v>355</v>
      </c>
      <c r="FS8" s="2" t="s">
        <v>356</v>
      </c>
      <c r="FT8" s="24">
        <v>106720000</v>
      </c>
      <c r="FU8" s="4">
        <f t="shared" si="68"/>
        <v>116</v>
      </c>
      <c r="FV8" s="11">
        <f t="shared" si="69"/>
        <v>21344000</v>
      </c>
      <c r="FW8" s="1" t="s">
        <v>357</v>
      </c>
      <c r="FX8" s="2" t="s">
        <v>358</v>
      </c>
      <c r="FY8" s="24">
        <v>178480000</v>
      </c>
      <c r="FZ8" s="4">
        <f t="shared" si="70"/>
        <v>194</v>
      </c>
      <c r="GA8" s="11">
        <f t="shared" si="71"/>
        <v>35696000</v>
      </c>
      <c r="GB8" s="1" t="s">
        <v>359</v>
      </c>
      <c r="GC8" s="2" t="s">
        <v>360</v>
      </c>
      <c r="GD8" s="24">
        <v>289800000</v>
      </c>
      <c r="GE8" s="4">
        <f t="shared" si="72"/>
        <v>315</v>
      </c>
      <c r="GF8" s="11">
        <f t="shared" si="73"/>
        <v>57960000</v>
      </c>
      <c r="GG8" s="1" t="s">
        <v>361</v>
      </c>
      <c r="GH8" s="2" t="s">
        <v>362</v>
      </c>
      <c r="GI8" s="24">
        <v>223560000</v>
      </c>
      <c r="GJ8" s="4">
        <f t="shared" si="74"/>
        <v>243</v>
      </c>
      <c r="GK8" s="11">
        <f t="shared" si="75"/>
        <v>44712000</v>
      </c>
      <c r="GL8" s="1" t="s">
        <v>363</v>
      </c>
      <c r="GM8" s="2" t="s">
        <v>364</v>
      </c>
      <c r="GN8" s="24">
        <v>275080000</v>
      </c>
      <c r="GO8" s="4">
        <f t="shared" si="76"/>
        <v>299</v>
      </c>
      <c r="GP8" s="11">
        <f t="shared" si="77"/>
        <v>55016000</v>
      </c>
      <c r="GQ8" s="1" t="s">
        <v>365</v>
      </c>
      <c r="GR8" s="2" t="s">
        <v>366</v>
      </c>
      <c r="GS8" s="24">
        <v>539120000</v>
      </c>
      <c r="GT8" s="4">
        <f t="shared" si="78"/>
        <v>586</v>
      </c>
      <c r="GU8" s="18">
        <f t="shared" si="79"/>
        <v>107824000</v>
      </c>
    </row>
    <row r="9" spans="3:203" x14ac:dyDescent="0.25">
      <c r="C9" s="4">
        <v>5</v>
      </c>
      <c r="D9" s="1" t="s">
        <v>367</v>
      </c>
      <c r="E9" s="2" t="s">
        <v>368</v>
      </c>
      <c r="F9" s="3">
        <v>87400000</v>
      </c>
      <c r="G9" s="4">
        <f t="shared" si="0"/>
        <v>95</v>
      </c>
      <c r="H9" s="3">
        <f t="shared" si="1"/>
        <v>17480000</v>
      </c>
      <c r="I9" s="1" t="s">
        <v>369</v>
      </c>
      <c r="J9" s="2" t="s">
        <v>370</v>
      </c>
      <c r="K9" s="11">
        <v>203320000</v>
      </c>
      <c r="L9" s="4">
        <f t="shared" si="2"/>
        <v>221</v>
      </c>
      <c r="M9" s="11">
        <f t="shared" si="3"/>
        <v>40664000</v>
      </c>
      <c r="N9" s="1" t="s">
        <v>371</v>
      </c>
      <c r="O9" s="2" t="s">
        <v>372</v>
      </c>
      <c r="P9" s="13">
        <v>293480000</v>
      </c>
      <c r="Q9" s="4">
        <f t="shared" si="4"/>
        <v>319</v>
      </c>
      <c r="R9" s="11">
        <f t="shared" si="5"/>
        <v>58696000</v>
      </c>
      <c r="S9" s="1" t="s">
        <v>373</v>
      </c>
      <c r="T9" s="2" t="s">
        <v>374</v>
      </c>
      <c r="U9" s="14">
        <v>312800000</v>
      </c>
      <c r="V9" s="4">
        <f t="shared" si="6"/>
        <v>340</v>
      </c>
      <c r="W9" s="11">
        <f t="shared" si="7"/>
        <v>62560000</v>
      </c>
      <c r="X9" s="1" t="s">
        <v>375</v>
      </c>
      <c r="Y9" s="2" t="s">
        <v>376</v>
      </c>
      <c r="Z9" s="3">
        <v>143520000</v>
      </c>
      <c r="AA9" s="4">
        <f t="shared" si="8"/>
        <v>156</v>
      </c>
      <c r="AB9" s="15">
        <f t="shared" si="9"/>
        <v>28704000</v>
      </c>
      <c r="AC9" s="1" t="s">
        <v>377</v>
      </c>
      <c r="AD9" s="2" t="s">
        <v>378</v>
      </c>
      <c r="AE9" s="11">
        <v>226320000</v>
      </c>
      <c r="AF9" s="4">
        <f t="shared" si="10"/>
        <v>246</v>
      </c>
      <c r="AG9" s="11">
        <f t="shared" si="11"/>
        <v>45264000</v>
      </c>
      <c r="AH9" s="1" t="s">
        <v>379</v>
      </c>
      <c r="AI9" s="2" t="s">
        <v>380</v>
      </c>
      <c r="AJ9" s="10">
        <v>478400000</v>
      </c>
      <c r="AK9" s="4">
        <f t="shared" si="12"/>
        <v>520</v>
      </c>
      <c r="AL9" s="3">
        <f t="shared" si="13"/>
        <v>95680000</v>
      </c>
      <c r="AM9" s="1" t="s">
        <v>381</v>
      </c>
      <c r="AN9" s="2" t="s">
        <v>382</v>
      </c>
      <c r="AO9" s="11">
        <v>161000000</v>
      </c>
      <c r="AP9" s="4">
        <f t="shared" si="14"/>
        <v>175</v>
      </c>
      <c r="AQ9" s="11">
        <f t="shared" si="15"/>
        <v>32200000</v>
      </c>
      <c r="AR9" s="1" t="s">
        <v>383</v>
      </c>
      <c r="AS9" s="2" t="s">
        <v>384</v>
      </c>
      <c r="AT9" s="11">
        <v>120520000</v>
      </c>
      <c r="AU9" s="4">
        <f t="shared" si="16"/>
        <v>131</v>
      </c>
      <c r="AV9" s="11">
        <f t="shared" si="17"/>
        <v>24104000</v>
      </c>
      <c r="AW9" s="1" t="s">
        <v>385</v>
      </c>
      <c r="AX9" s="2" t="s">
        <v>386</v>
      </c>
      <c r="AY9" s="11">
        <v>161000000</v>
      </c>
      <c r="AZ9" s="4">
        <f t="shared" si="18"/>
        <v>175</v>
      </c>
      <c r="BA9" s="11">
        <f t="shared" si="19"/>
        <v>32200000</v>
      </c>
      <c r="BB9" s="1" t="s">
        <v>387</v>
      </c>
      <c r="BC9" s="2" t="s">
        <v>388</v>
      </c>
      <c r="BD9" s="11">
        <v>185840000</v>
      </c>
      <c r="BE9" s="4">
        <f t="shared" si="20"/>
        <v>202</v>
      </c>
      <c r="BF9" s="19">
        <f t="shared" si="21"/>
        <v>37168000</v>
      </c>
      <c r="BG9" s="1" t="s">
        <v>389</v>
      </c>
      <c r="BH9" s="2" t="s">
        <v>390</v>
      </c>
      <c r="BI9" s="11">
        <v>253920000</v>
      </c>
      <c r="BJ9" s="4">
        <f t="shared" si="22"/>
        <v>276</v>
      </c>
      <c r="BK9" s="11">
        <f t="shared" si="23"/>
        <v>50784000</v>
      </c>
      <c r="BL9" s="1" t="s">
        <v>391</v>
      </c>
      <c r="BM9" s="2" t="s">
        <v>392</v>
      </c>
      <c r="BN9" s="11">
        <v>90160000</v>
      </c>
      <c r="BO9" s="4">
        <f t="shared" si="24"/>
        <v>98</v>
      </c>
      <c r="BP9" s="11">
        <f t="shared" si="25"/>
        <v>18032000</v>
      </c>
      <c r="BQ9" s="1" t="s">
        <v>393</v>
      </c>
      <c r="BR9" s="2" t="s">
        <v>394</v>
      </c>
      <c r="BS9" s="11">
        <v>138920000</v>
      </c>
      <c r="BT9" s="4">
        <f t="shared" si="26"/>
        <v>151</v>
      </c>
      <c r="BU9" s="11">
        <f t="shared" si="27"/>
        <v>27784000</v>
      </c>
      <c r="BV9" s="1" t="s">
        <v>395</v>
      </c>
      <c r="BW9" s="2" t="s">
        <v>396</v>
      </c>
      <c r="BX9" s="11">
        <v>207000000</v>
      </c>
      <c r="BY9" s="4">
        <f t="shared" si="28"/>
        <v>225</v>
      </c>
      <c r="BZ9" s="11">
        <f t="shared" si="29"/>
        <v>41400000</v>
      </c>
      <c r="CA9" s="1" t="s">
        <v>397</v>
      </c>
      <c r="CB9" s="2" t="s">
        <v>398</v>
      </c>
      <c r="CC9" s="11">
        <v>216200000</v>
      </c>
      <c r="CD9" s="4">
        <f t="shared" si="30"/>
        <v>235</v>
      </c>
      <c r="CE9" s="11">
        <f t="shared" si="31"/>
        <v>43240000</v>
      </c>
      <c r="CF9" s="1" t="s">
        <v>399</v>
      </c>
      <c r="CG9" s="2" t="s">
        <v>400</v>
      </c>
      <c r="CH9" s="3">
        <v>189520000</v>
      </c>
      <c r="CI9" s="4">
        <f t="shared" si="32"/>
        <v>206</v>
      </c>
      <c r="CJ9" s="11">
        <f t="shared" si="33"/>
        <v>37904000</v>
      </c>
      <c r="CK9" s="1" t="s">
        <v>401</v>
      </c>
      <c r="CL9" s="2" t="s">
        <v>402</v>
      </c>
      <c r="CM9" s="11">
        <v>79120000</v>
      </c>
      <c r="CN9" s="4">
        <f t="shared" si="34"/>
        <v>86</v>
      </c>
      <c r="CO9" s="11">
        <f t="shared" si="35"/>
        <v>15824000</v>
      </c>
      <c r="CP9" s="1" t="s">
        <v>403</v>
      </c>
      <c r="CQ9" s="2" t="s">
        <v>404</v>
      </c>
      <c r="CR9" s="11">
        <v>109480000</v>
      </c>
      <c r="CS9" s="4">
        <f t="shared" si="36"/>
        <v>119</v>
      </c>
      <c r="CT9" s="11">
        <f t="shared" si="37"/>
        <v>21896000</v>
      </c>
      <c r="CU9" s="1" t="s">
        <v>405</v>
      </c>
      <c r="CV9" s="2" t="s">
        <v>406</v>
      </c>
      <c r="CW9" s="11">
        <v>227240000</v>
      </c>
      <c r="CX9" s="4">
        <f t="shared" si="38"/>
        <v>247</v>
      </c>
      <c r="CY9" s="11">
        <f t="shared" si="39"/>
        <v>45448000</v>
      </c>
      <c r="CZ9" s="1" t="s">
        <v>407</v>
      </c>
      <c r="DA9" s="2" t="s">
        <v>408</v>
      </c>
      <c r="DB9" s="11">
        <v>349600000</v>
      </c>
      <c r="DC9" s="4">
        <f t="shared" si="40"/>
        <v>380</v>
      </c>
      <c r="DD9" s="11">
        <f t="shared" si="41"/>
        <v>69920000</v>
      </c>
      <c r="DE9" s="1" t="s">
        <v>409</v>
      </c>
      <c r="DF9" s="2" t="s">
        <v>410</v>
      </c>
      <c r="DG9" s="11">
        <v>151800000</v>
      </c>
      <c r="DH9" s="4">
        <f t="shared" si="42"/>
        <v>165</v>
      </c>
      <c r="DI9" s="11">
        <f t="shared" si="43"/>
        <v>30360000</v>
      </c>
      <c r="DJ9" s="1" t="s">
        <v>411</v>
      </c>
      <c r="DK9" s="2" t="s">
        <v>412</v>
      </c>
      <c r="DL9" s="11">
        <v>268640000</v>
      </c>
      <c r="DM9" s="29">
        <f t="shared" si="44"/>
        <v>292</v>
      </c>
      <c r="DN9" s="11">
        <f t="shared" si="45"/>
        <v>53728000</v>
      </c>
      <c r="DO9" s="1" t="s">
        <v>413</v>
      </c>
      <c r="DP9" s="2" t="s">
        <v>414</v>
      </c>
      <c r="DQ9" s="24">
        <v>278760000</v>
      </c>
      <c r="DR9" s="4">
        <f t="shared" si="46"/>
        <v>303</v>
      </c>
      <c r="DS9" s="3">
        <f t="shared" si="47"/>
        <v>55752000</v>
      </c>
      <c r="DT9" s="1" t="s">
        <v>415</v>
      </c>
      <c r="DU9" s="2" t="s">
        <v>416</v>
      </c>
      <c r="DV9" s="11">
        <v>145360000</v>
      </c>
      <c r="DW9" s="4">
        <f t="shared" si="48"/>
        <v>158</v>
      </c>
      <c r="DX9" s="11">
        <f t="shared" si="49"/>
        <v>29072000</v>
      </c>
      <c r="DY9" s="1" t="s">
        <v>417</v>
      </c>
      <c r="DZ9" s="2" t="s">
        <v>418</v>
      </c>
      <c r="EA9" s="24">
        <v>241960000</v>
      </c>
      <c r="EB9" s="4">
        <f t="shared" si="50"/>
        <v>263</v>
      </c>
      <c r="EC9" s="11">
        <f t="shared" si="51"/>
        <v>48392000</v>
      </c>
      <c r="ED9" s="1" t="s">
        <v>419</v>
      </c>
      <c r="EE9" s="2" t="s">
        <v>420</v>
      </c>
      <c r="EF9" s="11">
        <v>150880000</v>
      </c>
      <c r="EG9" s="4">
        <f t="shared" si="52"/>
        <v>164</v>
      </c>
      <c r="EH9" s="11">
        <f t="shared" si="53"/>
        <v>30176000</v>
      </c>
      <c r="EI9" s="1" t="s">
        <v>421</v>
      </c>
      <c r="EJ9" s="2" t="s">
        <v>422</v>
      </c>
      <c r="EK9" s="24">
        <v>216200000</v>
      </c>
      <c r="EL9" s="4">
        <f t="shared" si="54"/>
        <v>235</v>
      </c>
      <c r="EM9" s="11">
        <f t="shared" si="55"/>
        <v>43240000</v>
      </c>
      <c r="EN9" s="1" t="s">
        <v>423</v>
      </c>
      <c r="EO9" s="2" t="s">
        <v>424</v>
      </c>
      <c r="EP9" s="11">
        <v>172960000</v>
      </c>
      <c r="EQ9" s="4">
        <f t="shared" si="56"/>
        <v>188</v>
      </c>
      <c r="ER9" s="11">
        <f t="shared" si="57"/>
        <v>34592000</v>
      </c>
      <c r="ES9" s="1" t="s">
        <v>425</v>
      </c>
      <c r="ET9" s="2" t="s">
        <v>426</v>
      </c>
      <c r="EU9" s="24">
        <v>132480000</v>
      </c>
      <c r="EV9" s="4">
        <f t="shared" si="58"/>
        <v>144</v>
      </c>
      <c r="EW9" s="11">
        <f t="shared" si="59"/>
        <v>26496000</v>
      </c>
      <c r="EX9" s="1" t="s">
        <v>427</v>
      </c>
      <c r="EY9" s="2" t="s">
        <v>428</v>
      </c>
      <c r="EZ9" s="24">
        <v>266800000</v>
      </c>
      <c r="FA9" s="4">
        <f t="shared" si="60"/>
        <v>290</v>
      </c>
      <c r="FB9" s="11">
        <f t="shared" si="61"/>
        <v>53360000</v>
      </c>
      <c r="FC9" s="1" t="s">
        <v>429</v>
      </c>
      <c r="FD9" s="2" t="s">
        <v>430</v>
      </c>
      <c r="FE9" s="24">
        <v>221720000</v>
      </c>
      <c r="FF9" s="4">
        <f t="shared" si="62"/>
        <v>241</v>
      </c>
      <c r="FG9" s="11">
        <f t="shared" si="63"/>
        <v>44344000</v>
      </c>
      <c r="FH9" s="1" t="s">
        <v>431</v>
      </c>
      <c r="FI9" s="2" t="s">
        <v>432</v>
      </c>
      <c r="FJ9" s="24">
        <v>375360000</v>
      </c>
      <c r="FK9" s="4">
        <f t="shared" si="64"/>
        <v>408</v>
      </c>
      <c r="FL9" s="11">
        <f t="shared" si="65"/>
        <v>75072000</v>
      </c>
      <c r="FM9" s="1" t="s">
        <v>433</v>
      </c>
      <c r="FN9" s="2" t="s">
        <v>434</v>
      </c>
      <c r="FO9" s="11">
        <v>79120000</v>
      </c>
      <c r="FP9" s="4">
        <f t="shared" si="66"/>
        <v>86</v>
      </c>
      <c r="FQ9" s="11">
        <f t="shared" si="67"/>
        <v>15824000</v>
      </c>
      <c r="FR9" s="1" t="s">
        <v>435</v>
      </c>
      <c r="FS9" s="2" t="s">
        <v>436</v>
      </c>
      <c r="FT9" s="24">
        <v>289800000</v>
      </c>
      <c r="FU9" s="4">
        <f t="shared" si="68"/>
        <v>315</v>
      </c>
      <c r="FV9" s="11">
        <f t="shared" si="69"/>
        <v>57960000</v>
      </c>
      <c r="FW9" s="1" t="s">
        <v>437</v>
      </c>
      <c r="FX9" s="2" t="s">
        <v>438</v>
      </c>
      <c r="FY9" s="24">
        <v>158240000</v>
      </c>
      <c r="FZ9" s="4">
        <f t="shared" si="70"/>
        <v>172</v>
      </c>
      <c r="GA9" s="11">
        <f t="shared" si="71"/>
        <v>31648000</v>
      </c>
      <c r="GB9" s="1" t="s">
        <v>439</v>
      </c>
      <c r="GC9" s="2" t="s">
        <v>440</v>
      </c>
      <c r="GD9" s="24">
        <v>103040000</v>
      </c>
      <c r="GE9" s="4">
        <f t="shared" si="72"/>
        <v>112</v>
      </c>
      <c r="GF9" s="11">
        <f t="shared" si="73"/>
        <v>20608000</v>
      </c>
      <c r="GG9" s="1" t="s">
        <v>441</v>
      </c>
      <c r="GH9" s="2" t="s">
        <v>442</v>
      </c>
      <c r="GI9" s="24">
        <v>360640000</v>
      </c>
      <c r="GJ9" s="4">
        <f t="shared" si="74"/>
        <v>392</v>
      </c>
      <c r="GK9" s="11">
        <f t="shared" si="75"/>
        <v>72128000</v>
      </c>
      <c r="GL9" s="1" t="s">
        <v>443</v>
      </c>
      <c r="GM9" s="2" t="s">
        <v>444</v>
      </c>
      <c r="GN9" s="24">
        <v>337640000</v>
      </c>
      <c r="GO9" s="4">
        <f t="shared" si="76"/>
        <v>367</v>
      </c>
      <c r="GP9" s="11">
        <f t="shared" si="77"/>
        <v>67528000</v>
      </c>
      <c r="GQ9" s="1" t="s">
        <v>445</v>
      </c>
      <c r="GR9" s="2" t="s">
        <v>446</v>
      </c>
      <c r="GS9" s="24">
        <v>456320000</v>
      </c>
      <c r="GT9" s="4">
        <f t="shared" si="78"/>
        <v>496</v>
      </c>
      <c r="GU9" s="18">
        <f t="shared" si="79"/>
        <v>91264000</v>
      </c>
    </row>
    <row r="10" spans="3:203" x14ac:dyDescent="0.25">
      <c r="C10" s="4">
        <v>6</v>
      </c>
      <c r="D10" s="1" t="s">
        <v>447</v>
      </c>
      <c r="E10" s="2" t="s">
        <v>448</v>
      </c>
      <c r="F10" s="3">
        <v>230000000</v>
      </c>
      <c r="G10" s="4">
        <f t="shared" si="0"/>
        <v>250</v>
      </c>
      <c r="H10" s="3">
        <f t="shared" si="1"/>
        <v>46000000</v>
      </c>
      <c r="I10" s="1" t="s">
        <v>449</v>
      </c>
      <c r="J10" s="2" t="s">
        <v>450</v>
      </c>
      <c r="K10" s="11">
        <v>189520000</v>
      </c>
      <c r="L10" s="4">
        <f t="shared" si="2"/>
        <v>206</v>
      </c>
      <c r="M10" s="11">
        <f t="shared" si="3"/>
        <v>37904000</v>
      </c>
      <c r="N10" s="1" t="s">
        <v>451</v>
      </c>
      <c r="O10" s="2" t="s">
        <v>452</v>
      </c>
      <c r="P10" s="13">
        <v>200560000</v>
      </c>
      <c r="Q10" s="4">
        <f t="shared" si="4"/>
        <v>218</v>
      </c>
      <c r="R10" s="11">
        <f t="shared" si="5"/>
        <v>40112000</v>
      </c>
      <c r="S10" s="1" t="s">
        <v>453</v>
      </c>
      <c r="T10" s="2" t="s">
        <v>454</v>
      </c>
      <c r="U10" s="14">
        <v>182160000</v>
      </c>
      <c r="V10" s="4">
        <f t="shared" si="6"/>
        <v>198</v>
      </c>
      <c r="W10" s="11">
        <f t="shared" si="7"/>
        <v>36432000</v>
      </c>
      <c r="X10" s="1" t="s">
        <v>455</v>
      </c>
      <c r="Y10" s="2" t="s">
        <v>456</v>
      </c>
      <c r="Z10" s="3">
        <v>327520000</v>
      </c>
      <c r="AA10" s="4">
        <f t="shared" si="8"/>
        <v>356</v>
      </c>
      <c r="AB10" s="15">
        <f t="shared" si="9"/>
        <v>65504000</v>
      </c>
      <c r="AC10" s="1" t="s">
        <v>457</v>
      </c>
      <c r="AD10" s="2" t="s">
        <v>458</v>
      </c>
      <c r="AE10" s="11">
        <v>292560000</v>
      </c>
      <c r="AF10" s="4">
        <f t="shared" si="10"/>
        <v>318</v>
      </c>
      <c r="AG10" s="11">
        <f t="shared" si="11"/>
        <v>58512000</v>
      </c>
      <c r="AH10" s="1" t="s">
        <v>459</v>
      </c>
      <c r="AI10" s="2" t="s">
        <v>460</v>
      </c>
      <c r="AJ10" s="10">
        <v>119600000</v>
      </c>
      <c r="AK10" s="4">
        <f t="shared" si="12"/>
        <v>130</v>
      </c>
      <c r="AL10" s="3">
        <f t="shared" si="13"/>
        <v>23920000</v>
      </c>
      <c r="AM10" s="1" t="s">
        <v>461</v>
      </c>
      <c r="AN10" s="2" t="s">
        <v>462</v>
      </c>
      <c r="AO10" s="11">
        <v>116840000</v>
      </c>
      <c r="AP10" s="4">
        <f t="shared" si="14"/>
        <v>127</v>
      </c>
      <c r="AQ10" s="11">
        <f t="shared" si="15"/>
        <v>23368000</v>
      </c>
      <c r="AR10" s="1" t="s">
        <v>463</v>
      </c>
      <c r="AS10" s="2" t="s">
        <v>464</v>
      </c>
      <c r="AT10" s="11">
        <v>159160000</v>
      </c>
      <c r="AU10" s="4">
        <f t="shared" si="16"/>
        <v>173</v>
      </c>
      <c r="AV10" s="11">
        <f t="shared" si="17"/>
        <v>31832000</v>
      </c>
      <c r="AW10" s="1" t="s">
        <v>465</v>
      </c>
      <c r="AX10" s="2" t="s">
        <v>466</v>
      </c>
      <c r="AY10" s="11">
        <v>73600000</v>
      </c>
      <c r="AZ10" s="4">
        <f t="shared" si="18"/>
        <v>80</v>
      </c>
      <c r="BA10" s="11">
        <f t="shared" si="19"/>
        <v>14720000</v>
      </c>
      <c r="BB10" s="1" t="s">
        <v>467</v>
      </c>
      <c r="BC10" s="2" t="s">
        <v>468</v>
      </c>
      <c r="BD10" s="11">
        <v>199640000</v>
      </c>
      <c r="BE10" s="4">
        <f t="shared" si="20"/>
        <v>217</v>
      </c>
      <c r="BF10" s="19">
        <f t="shared" si="21"/>
        <v>39928000</v>
      </c>
      <c r="BG10" s="1" t="s">
        <v>469</v>
      </c>
      <c r="BH10" s="2" t="s">
        <v>470</v>
      </c>
      <c r="BI10" s="11">
        <v>319240000</v>
      </c>
      <c r="BJ10" s="4">
        <f t="shared" si="22"/>
        <v>347</v>
      </c>
      <c r="BK10" s="11">
        <f t="shared" si="23"/>
        <v>63848000</v>
      </c>
      <c r="BL10" s="1" t="s">
        <v>471</v>
      </c>
      <c r="BM10" s="2" t="s">
        <v>472</v>
      </c>
      <c r="BN10" s="11">
        <v>80960000</v>
      </c>
      <c r="BO10" s="4">
        <f t="shared" si="24"/>
        <v>88</v>
      </c>
      <c r="BP10" s="11">
        <f t="shared" si="25"/>
        <v>16192000</v>
      </c>
      <c r="BQ10" s="1" t="s">
        <v>473</v>
      </c>
      <c r="BR10" s="2" t="s">
        <v>474</v>
      </c>
      <c r="BS10" s="11">
        <v>121440000</v>
      </c>
      <c r="BT10" s="4">
        <f t="shared" si="26"/>
        <v>132</v>
      </c>
      <c r="BU10" s="11">
        <f t="shared" si="27"/>
        <v>24288000</v>
      </c>
      <c r="BV10" s="1" t="s">
        <v>475</v>
      </c>
      <c r="BW10" s="2" t="s">
        <v>476</v>
      </c>
      <c r="BX10" s="11">
        <v>248400000</v>
      </c>
      <c r="BY10" s="4">
        <f t="shared" si="28"/>
        <v>270</v>
      </c>
      <c r="BZ10" s="11">
        <f t="shared" si="29"/>
        <v>49680000</v>
      </c>
      <c r="CA10" s="1" t="s">
        <v>477</v>
      </c>
      <c r="CB10" s="2" t="s">
        <v>478</v>
      </c>
      <c r="CC10" s="11">
        <v>173880000</v>
      </c>
      <c r="CD10" s="4">
        <f t="shared" si="30"/>
        <v>189</v>
      </c>
      <c r="CE10" s="11">
        <f t="shared" si="31"/>
        <v>34776000</v>
      </c>
      <c r="CF10" s="1" t="s">
        <v>479</v>
      </c>
      <c r="CG10" s="2" t="s">
        <v>480</v>
      </c>
      <c r="CH10" s="3">
        <v>204240000</v>
      </c>
      <c r="CI10" s="4">
        <f t="shared" si="32"/>
        <v>222</v>
      </c>
      <c r="CJ10" s="11">
        <f t="shared" si="33"/>
        <v>40848000</v>
      </c>
      <c r="CK10" s="1" t="s">
        <v>481</v>
      </c>
      <c r="CL10" s="2" t="s">
        <v>482</v>
      </c>
      <c r="CM10" s="11">
        <v>420440000</v>
      </c>
      <c r="CN10" s="4">
        <f t="shared" si="34"/>
        <v>457</v>
      </c>
      <c r="CO10" s="11">
        <f t="shared" si="35"/>
        <v>84088000</v>
      </c>
      <c r="CP10" s="1" t="s">
        <v>483</v>
      </c>
      <c r="CQ10" s="2" t="s">
        <v>484</v>
      </c>
      <c r="CR10" s="11">
        <v>175720000</v>
      </c>
      <c r="CS10" s="4">
        <f t="shared" si="36"/>
        <v>191</v>
      </c>
      <c r="CT10" s="11">
        <f t="shared" si="37"/>
        <v>35144000</v>
      </c>
      <c r="CU10" s="1" t="s">
        <v>485</v>
      </c>
      <c r="CV10" s="2" t="s">
        <v>486</v>
      </c>
      <c r="CW10" s="11">
        <v>154560000</v>
      </c>
      <c r="CX10" s="4">
        <f t="shared" si="38"/>
        <v>168</v>
      </c>
      <c r="CY10" s="11">
        <f t="shared" si="39"/>
        <v>30912000</v>
      </c>
      <c r="CZ10" s="1" t="s">
        <v>487</v>
      </c>
      <c r="DA10" s="2" t="s">
        <v>488</v>
      </c>
      <c r="DB10" s="11">
        <v>130640000</v>
      </c>
      <c r="DC10" s="4">
        <f t="shared" si="40"/>
        <v>142</v>
      </c>
      <c r="DD10" s="11">
        <f t="shared" si="41"/>
        <v>26128000</v>
      </c>
      <c r="DE10" s="1" t="s">
        <v>489</v>
      </c>
      <c r="DF10" s="2" t="s">
        <v>490</v>
      </c>
      <c r="DG10" s="11">
        <v>111320000</v>
      </c>
      <c r="DH10" s="4">
        <f t="shared" si="42"/>
        <v>121</v>
      </c>
      <c r="DI10" s="11">
        <f t="shared" si="43"/>
        <v>22264000</v>
      </c>
      <c r="DJ10" s="1" t="s">
        <v>491</v>
      </c>
      <c r="DK10" s="2" t="s">
        <v>492</v>
      </c>
      <c r="DL10" s="11">
        <v>351440000</v>
      </c>
      <c r="DM10" s="29">
        <f t="shared" si="44"/>
        <v>382</v>
      </c>
      <c r="DN10" s="11">
        <f t="shared" si="45"/>
        <v>70288000</v>
      </c>
      <c r="DO10" s="1" t="s">
        <v>493</v>
      </c>
      <c r="DP10" s="2" t="s">
        <v>494</v>
      </c>
      <c r="DQ10" s="24">
        <v>491280000</v>
      </c>
      <c r="DR10" s="4">
        <f t="shared" si="46"/>
        <v>534</v>
      </c>
      <c r="DS10" s="3">
        <f t="shared" si="47"/>
        <v>98256000</v>
      </c>
      <c r="DT10" s="1" t="s">
        <v>495</v>
      </c>
      <c r="DU10" s="2" t="s">
        <v>496</v>
      </c>
      <c r="DV10" s="11">
        <v>144440000</v>
      </c>
      <c r="DW10" s="4">
        <f t="shared" si="48"/>
        <v>157</v>
      </c>
      <c r="DX10" s="11">
        <f t="shared" si="49"/>
        <v>28888000</v>
      </c>
      <c r="DY10" s="1" t="s">
        <v>497</v>
      </c>
      <c r="DZ10" s="2" t="s">
        <v>498</v>
      </c>
      <c r="EA10" s="24">
        <v>93840000</v>
      </c>
      <c r="EB10" s="4">
        <f t="shared" si="50"/>
        <v>102</v>
      </c>
      <c r="EC10" s="11">
        <f t="shared" si="51"/>
        <v>18768000</v>
      </c>
      <c r="ED10" s="1" t="s">
        <v>499</v>
      </c>
      <c r="EE10" s="2" t="s">
        <v>500</v>
      </c>
      <c r="EF10" s="11">
        <v>442520000</v>
      </c>
      <c r="EG10" s="4">
        <f t="shared" si="52"/>
        <v>481</v>
      </c>
      <c r="EH10" s="11">
        <f t="shared" si="53"/>
        <v>88504000</v>
      </c>
      <c r="EI10" s="1" t="s">
        <v>501</v>
      </c>
      <c r="EJ10" s="2" t="s">
        <v>502</v>
      </c>
      <c r="EK10" s="24">
        <v>194120000</v>
      </c>
      <c r="EL10" s="4">
        <f t="shared" si="54"/>
        <v>211</v>
      </c>
      <c r="EM10" s="11">
        <f t="shared" si="55"/>
        <v>38824000</v>
      </c>
      <c r="EN10" s="1" t="s">
        <v>503</v>
      </c>
      <c r="EO10" s="2" t="s">
        <v>504</v>
      </c>
      <c r="EP10" s="11">
        <v>156400000</v>
      </c>
      <c r="EQ10" s="4">
        <f t="shared" si="56"/>
        <v>170</v>
      </c>
      <c r="ER10" s="11">
        <f t="shared" si="57"/>
        <v>31280000</v>
      </c>
      <c r="ES10" s="1" t="s">
        <v>505</v>
      </c>
      <c r="ET10" s="2" t="s">
        <v>506</v>
      </c>
      <c r="EU10" s="24">
        <v>258520000</v>
      </c>
      <c r="EV10" s="4">
        <f t="shared" si="58"/>
        <v>281</v>
      </c>
      <c r="EW10" s="11">
        <f t="shared" si="59"/>
        <v>51704000</v>
      </c>
      <c r="EX10" s="1" t="s">
        <v>507</v>
      </c>
      <c r="EY10" s="2" t="s">
        <v>508</v>
      </c>
      <c r="EZ10" s="24">
        <v>284280000</v>
      </c>
      <c r="FA10" s="4">
        <f t="shared" si="60"/>
        <v>309</v>
      </c>
      <c r="FB10" s="11">
        <f t="shared" si="61"/>
        <v>56856000</v>
      </c>
      <c r="FC10" s="1" t="s">
        <v>509</v>
      </c>
      <c r="FD10" s="2" t="s">
        <v>510</v>
      </c>
      <c r="FE10" s="24">
        <v>157320000</v>
      </c>
      <c r="FF10" s="4">
        <f t="shared" si="62"/>
        <v>171</v>
      </c>
      <c r="FG10" s="11">
        <f t="shared" si="63"/>
        <v>31464000</v>
      </c>
      <c r="FH10" s="1" t="s">
        <v>511</v>
      </c>
      <c r="FI10" s="2" t="s">
        <v>512</v>
      </c>
      <c r="FJ10" s="24">
        <v>155480000</v>
      </c>
      <c r="FK10" s="4">
        <f t="shared" si="64"/>
        <v>169</v>
      </c>
      <c r="FL10" s="11">
        <f t="shared" si="65"/>
        <v>31096000</v>
      </c>
      <c r="FM10" s="1" t="s">
        <v>513</v>
      </c>
      <c r="FN10" s="2" t="s">
        <v>514</v>
      </c>
      <c r="FO10" s="11">
        <v>284280000</v>
      </c>
      <c r="FP10" s="4">
        <f t="shared" si="66"/>
        <v>309</v>
      </c>
      <c r="FQ10" s="11">
        <f t="shared" si="67"/>
        <v>56856000</v>
      </c>
      <c r="FR10" s="1" t="s">
        <v>515</v>
      </c>
      <c r="FS10" s="2" t="s">
        <v>516</v>
      </c>
      <c r="FT10" s="24">
        <v>361560000</v>
      </c>
      <c r="FU10" s="4">
        <f t="shared" si="68"/>
        <v>393</v>
      </c>
      <c r="FV10" s="11">
        <f t="shared" si="69"/>
        <v>72312000</v>
      </c>
      <c r="FW10" s="1" t="s">
        <v>517</v>
      </c>
      <c r="FX10" s="2" t="s">
        <v>518</v>
      </c>
      <c r="FY10" s="24">
        <v>126040000</v>
      </c>
      <c r="FZ10" s="4">
        <f t="shared" si="70"/>
        <v>137</v>
      </c>
      <c r="GA10" s="11">
        <f t="shared" si="71"/>
        <v>25208000</v>
      </c>
      <c r="GB10" s="1" t="s">
        <v>519</v>
      </c>
      <c r="GC10" s="2" t="s">
        <v>520</v>
      </c>
      <c r="GD10" s="24">
        <v>318320000</v>
      </c>
      <c r="GE10" s="4">
        <f t="shared" si="72"/>
        <v>346</v>
      </c>
      <c r="GF10" s="11">
        <f t="shared" si="73"/>
        <v>63664000</v>
      </c>
      <c r="GG10" s="1" t="s">
        <v>521</v>
      </c>
      <c r="GH10" s="2" t="s">
        <v>522</v>
      </c>
      <c r="GI10" s="24">
        <v>175720000</v>
      </c>
      <c r="GJ10" s="4">
        <f t="shared" si="74"/>
        <v>191</v>
      </c>
      <c r="GK10" s="11">
        <f t="shared" si="75"/>
        <v>35144000</v>
      </c>
      <c r="GL10" s="1" t="s">
        <v>523</v>
      </c>
      <c r="GM10" s="2" t="s">
        <v>524</v>
      </c>
      <c r="GN10" s="24">
        <v>165600000</v>
      </c>
      <c r="GO10" s="4">
        <f t="shared" si="76"/>
        <v>180</v>
      </c>
      <c r="GP10" s="11">
        <f t="shared" si="77"/>
        <v>33120000</v>
      </c>
      <c r="GQ10" s="1" t="s">
        <v>525</v>
      </c>
      <c r="GR10" s="2" t="s">
        <v>526</v>
      </c>
      <c r="GS10" s="24">
        <v>379040000</v>
      </c>
      <c r="GT10" s="4">
        <f t="shared" si="78"/>
        <v>412</v>
      </c>
      <c r="GU10" s="18">
        <f t="shared" si="79"/>
        <v>75808000</v>
      </c>
    </row>
    <row r="11" spans="3:203" x14ac:dyDescent="0.25">
      <c r="C11" s="4">
        <v>7</v>
      </c>
      <c r="D11" s="1" t="s">
        <v>527</v>
      </c>
      <c r="E11" s="2" t="s">
        <v>528</v>
      </c>
      <c r="F11" s="3">
        <v>283360000</v>
      </c>
      <c r="G11" s="4">
        <f t="shared" si="0"/>
        <v>308</v>
      </c>
      <c r="H11" s="3">
        <f t="shared" si="1"/>
        <v>56672000</v>
      </c>
      <c r="I11" s="1" t="s">
        <v>529</v>
      </c>
      <c r="J11" s="2" t="s">
        <v>530</v>
      </c>
      <c r="K11" s="11">
        <v>270480000</v>
      </c>
      <c r="L11" s="4">
        <f t="shared" si="2"/>
        <v>294</v>
      </c>
      <c r="M11" s="11">
        <f t="shared" si="3"/>
        <v>54096000</v>
      </c>
      <c r="N11" s="1" t="s">
        <v>531</v>
      </c>
      <c r="O11" s="2" t="s">
        <v>532</v>
      </c>
      <c r="P11" s="13">
        <v>178480000</v>
      </c>
      <c r="Q11" s="4">
        <f t="shared" si="4"/>
        <v>194</v>
      </c>
      <c r="R11" s="11">
        <f t="shared" si="5"/>
        <v>35696000</v>
      </c>
      <c r="S11" s="1" t="s">
        <v>533</v>
      </c>
      <c r="T11" s="2" t="s">
        <v>534</v>
      </c>
      <c r="U11" s="14">
        <v>166520000</v>
      </c>
      <c r="V11" s="4">
        <f t="shared" si="6"/>
        <v>181</v>
      </c>
      <c r="W11" s="11">
        <f t="shared" si="7"/>
        <v>33304000</v>
      </c>
      <c r="X11" s="1" t="s">
        <v>535</v>
      </c>
      <c r="Y11" s="2" t="s">
        <v>536</v>
      </c>
      <c r="Z11" s="3">
        <v>106720000</v>
      </c>
      <c r="AA11" s="4">
        <f t="shared" si="8"/>
        <v>116</v>
      </c>
      <c r="AB11" s="15">
        <f t="shared" si="9"/>
        <v>21344000</v>
      </c>
      <c r="AC11" s="1" t="s">
        <v>537</v>
      </c>
      <c r="AD11" s="2" t="s">
        <v>538</v>
      </c>
      <c r="AE11" s="11">
        <v>196880000</v>
      </c>
      <c r="AF11" s="4">
        <f t="shared" si="10"/>
        <v>214</v>
      </c>
      <c r="AG11" s="11">
        <f t="shared" si="11"/>
        <v>39376000</v>
      </c>
      <c r="AH11" s="1" t="s">
        <v>539</v>
      </c>
      <c r="AI11" s="2" t="s">
        <v>540</v>
      </c>
      <c r="AJ11" s="10">
        <v>154560000</v>
      </c>
      <c r="AK11" s="4">
        <f t="shared" si="12"/>
        <v>168</v>
      </c>
      <c r="AL11" s="3">
        <f t="shared" si="13"/>
        <v>30912000</v>
      </c>
      <c r="AM11" s="1" t="s">
        <v>541</v>
      </c>
      <c r="AN11" s="2" t="s">
        <v>542</v>
      </c>
      <c r="AO11" s="11">
        <v>131560000</v>
      </c>
      <c r="AP11" s="4">
        <f t="shared" si="14"/>
        <v>143</v>
      </c>
      <c r="AQ11" s="11">
        <f t="shared" si="15"/>
        <v>26312000</v>
      </c>
      <c r="AR11" s="1" t="s">
        <v>543</v>
      </c>
      <c r="AS11" s="2" t="s">
        <v>544</v>
      </c>
      <c r="AT11" s="11">
        <v>322920000</v>
      </c>
      <c r="AU11" s="4">
        <f t="shared" si="16"/>
        <v>351</v>
      </c>
      <c r="AV11" s="11">
        <f t="shared" si="17"/>
        <v>64584000</v>
      </c>
      <c r="AW11" s="1" t="s">
        <v>545</v>
      </c>
      <c r="AX11" s="2" t="s">
        <v>546</v>
      </c>
      <c r="AY11" s="11">
        <v>266800000</v>
      </c>
      <c r="AZ11" s="4">
        <f t="shared" si="18"/>
        <v>290</v>
      </c>
      <c r="BA11" s="11">
        <f t="shared" si="19"/>
        <v>53360000</v>
      </c>
      <c r="BB11" s="1" t="s">
        <v>547</v>
      </c>
      <c r="BC11" s="2" t="s">
        <v>548</v>
      </c>
      <c r="BD11" s="11">
        <v>211600000</v>
      </c>
      <c r="BE11" s="4">
        <f t="shared" si="20"/>
        <v>230</v>
      </c>
      <c r="BF11" s="19">
        <f t="shared" si="21"/>
        <v>42320000</v>
      </c>
      <c r="BG11" s="1" t="s">
        <v>549</v>
      </c>
      <c r="BH11" s="2" t="s">
        <v>550</v>
      </c>
      <c r="BI11" s="11">
        <v>323840000</v>
      </c>
      <c r="BJ11" s="4">
        <f t="shared" si="22"/>
        <v>352</v>
      </c>
      <c r="BK11" s="11">
        <f t="shared" si="23"/>
        <v>64768000</v>
      </c>
      <c r="BL11" s="1" t="s">
        <v>551</v>
      </c>
      <c r="BM11" s="2" t="s">
        <v>552</v>
      </c>
      <c r="BN11" s="11">
        <v>156400000</v>
      </c>
      <c r="BO11" s="4">
        <f t="shared" si="24"/>
        <v>170</v>
      </c>
      <c r="BP11" s="11">
        <f t="shared" si="25"/>
        <v>31280000</v>
      </c>
      <c r="BQ11" s="1" t="s">
        <v>553</v>
      </c>
      <c r="BR11" s="2" t="s">
        <v>554</v>
      </c>
      <c r="BS11" s="11">
        <v>138000000</v>
      </c>
      <c r="BT11" s="4">
        <f t="shared" si="26"/>
        <v>150</v>
      </c>
      <c r="BU11" s="11">
        <f t="shared" si="27"/>
        <v>27600000</v>
      </c>
      <c r="BV11" s="1" t="s">
        <v>555</v>
      </c>
      <c r="BW11" s="2" t="s">
        <v>556</v>
      </c>
      <c r="BX11" s="11">
        <v>210680000</v>
      </c>
      <c r="BY11" s="4">
        <f t="shared" si="28"/>
        <v>229</v>
      </c>
      <c r="BZ11" s="11">
        <f t="shared" si="29"/>
        <v>42136000</v>
      </c>
      <c r="CA11" s="1" t="s">
        <v>557</v>
      </c>
      <c r="CB11" s="2" t="s">
        <v>558</v>
      </c>
      <c r="CC11" s="11">
        <v>305440000</v>
      </c>
      <c r="CD11" s="4">
        <f t="shared" si="30"/>
        <v>332</v>
      </c>
      <c r="CE11" s="11">
        <f t="shared" si="31"/>
        <v>61088000</v>
      </c>
      <c r="CF11" s="1" t="s">
        <v>559</v>
      </c>
      <c r="CG11" s="2" t="s">
        <v>560</v>
      </c>
      <c r="CH11" s="3">
        <v>303600000</v>
      </c>
      <c r="CI11" s="4">
        <f t="shared" si="32"/>
        <v>330</v>
      </c>
      <c r="CJ11" s="11">
        <f t="shared" si="33"/>
        <v>60720000</v>
      </c>
      <c r="CK11" s="1" t="s">
        <v>561</v>
      </c>
      <c r="CL11" s="2" t="s">
        <v>562</v>
      </c>
      <c r="CM11" s="11">
        <v>106720000</v>
      </c>
      <c r="CN11" s="4">
        <f t="shared" si="34"/>
        <v>116</v>
      </c>
      <c r="CO11" s="11">
        <f t="shared" si="35"/>
        <v>21344000</v>
      </c>
      <c r="CP11" s="1" t="s">
        <v>563</v>
      </c>
      <c r="CQ11" s="2" t="s">
        <v>564</v>
      </c>
      <c r="CR11" s="11">
        <v>200560000</v>
      </c>
      <c r="CS11" s="4">
        <f t="shared" si="36"/>
        <v>218</v>
      </c>
      <c r="CT11" s="11">
        <f t="shared" si="37"/>
        <v>40112000</v>
      </c>
      <c r="CU11" s="1" t="s">
        <v>565</v>
      </c>
      <c r="CV11" s="2" t="s">
        <v>566</v>
      </c>
      <c r="CW11" s="11">
        <v>517960000</v>
      </c>
      <c r="CX11" s="4">
        <f t="shared" si="38"/>
        <v>563</v>
      </c>
      <c r="CY11" s="11">
        <f t="shared" si="39"/>
        <v>103592000</v>
      </c>
      <c r="CZ11" s="1" t="s">
        <v>567</v>
      </c>
      <c r="DA11" s="2" t="s">
        <v>568</v>
      </c>
      <c r="DB11" s="11">
        <v>151800000</v>
      </c>
      <c r="DC11" s="4">
        <f t="shared" si="40"/>
        <v>165</v>
      </c>
      <c r="DD11" s="11">
        <f t="shared" si="41"/>
        <v>30360000</v>
      </c>
      <c r="DE11" s="1" t="s">
        <v>569</v>
      </c>
      <c r="DF11" s="2" t="s">
        <v>570</v>
      </c>
      <c r="DG11" s="11">
        <v>21160000</v>
      </c>
      <c r="DH11" s="4">
        <f t="shared" si="42"/>
        <v>23</v>
      </c>
      <c r="DI11" s="11">
        <f t="shared" si="43"/>
        <v>4232000</v>
      </c>
      <c r="DJ11" s="1" t="s">
        <v>571</v>
      </c>
      <c r="DK11" s="2" t="s">
        <v>572</v>
      </c>
      <c r="DL11" s="11">
        <v>291640000</v>
      </c>
      <c r="DM11" s="29">
        <f t="shared" si="44"/>
        <v>317</v>
      </c>
      <c r="DN11" s="11">
        <f t="shared" si="45"/>
        <v>58328000</v>
      </c>
      <c r="DO11" s="1" t="s">
        <v>573</v>
      </c>
      <c r="DP11" s="2" t="s">
        <v>574</v>
      </c>
      <c r="DQ11" s="24">
        <v>134320000</v>
      </c>
      <c r="DR11" s="4">
        <f t="shared" si="46"/>
        <v>146</v>
      </c>
      <c r="DS11" s="3">
        <f t="shared" si="47"/>
        <v>26864000</v>
      </c>
      <c r="DT11" s="1" t="s">
        <v>575</v>
      </c>
      <c r="DU11" s="2" t="s">
        <v>576</v>
      </c>
      <c r="DV11" s="11">
        <v>298080000</v>
      </c>
      <c r="DW11" s="4">
        <f t="shared" si="48"/>
        <v>324</v>
      </c>
      <c r="DX11" s="11">
        <f t="shared" si="49"/>
        <v>59616000</v>
      </c>
      <c r="DY11" s="1" t="s">
        <v>577</v>
      </c>
      <c r="DZ11" s="2" t="s">
        <v>578</v>
      </c>
      <c r="EA11" s="24">
        <v>126960000</v>
      </c>
      <c r="EB11" s="4">
        <f t="shared" si="50"/>
        <v>138</v>
      </c>
      <c r="EC11" s="11">
        <f t="shared" si="51"/>
        <v>25392000</v>
      </c>
      <c r="ED11" s="1" t="s">
        <v>579</v>
      </c>
      <c r="EE11" s="2" t="s">
        <v>580</v>
      </c>
      <c r="EF11" s="11">
        <v>147200000</v>
      </c>
      <c r="EG11" s="4">
        <f t="shared" si="52"/>
        <v>160</v>
      </c>
      <c r="EH11" s="11">
        <f t="shared" si="53"/>
        <v>29440000</v>
      </c>
      <c r="EI11" s="1" t="s">
        <v>581</v>
      </c>
      <c r="EJ11" s="2" t="s">
        <v>582</v>
      </c>
      <c r="EK11" s="24">
        <v>224480000</v>
      </c>
      <c r="EL11" s="4">
        <f t="shared" si="54"/>
        <v>244</v>
      </c>
      <c r="EM11" s="11">
        <f t="shared" si="55"/>
        <v>44896000</v>
      </c>
      <c r="EN11" s="1" t="s">
        <v>583</v>
      </c>
      <c r="EO11" s="2" t="s">
        <v>584</v>
      </c>
      <c r="EP11" s="11">
        <v>92000000</v>
      </c>
      <c r="EQ11" s="4">
        <f t="shared" si="56"/>
        <v>100</v>
      </c>
      <c r="ER11" s="11">
        <f t="shared" si="57"/>
        <v>18400000</v>
      </c>
      <c r="ES11" s="1" t="s">
        <v>585</v>
      </c>
      <c r="ET11" s="2" t="s">
        <v>586</v>
      </c>
      <c r="EU11" s="24">
        <v>113160000</v>
      </c>
      <c r="EV11" s="4">
        <f t="shared" si="58"/>
        <v>123</v>
      </c>
      <c r="EW11" s="11">
        <f t="shared" si="59"/>
        <v>22632000</v>
      </c>
      <c r="EX11" s="1" t="s">
        <v>587</v>
      </c>
      <c r="EY11" s="2" t="s">
        <v>588</v>
      </c>
      <c r="EZ11" s="24">
        <v>344080000</v>
      </c>
      <c r="FA11" s="4">
        <f t="shared" si="60"/>
        <v>374</v>
      </c>
      <c r="FB11" s="11">
        <f t="shared" si="61"/>
        <v>68816000</v>
      </c>
      <c r="FC11" s="1" t="s">
        <v>589</v>
      </c>
      <c r="FD11" s="2" t="s">
        <v>590</v>
      </c>
      <c r="FE11" s="24">
        <v>281520000</v>
      </c>
      <c r="FF11" s="4">
        <f t="shared" si="62"/>
        <v>306</v>
      </c>
      <c r="FG11" s="11">
        <f t="shared" si="63"/>
        <v>56304000</v>
      </c>
      <c r="FH11" s="1" t="s">
        <v>591</v>
      </c>
      <c r="FI11" s="2" t="s">
        <v>592</v>
      </c>
      <c r="FJ11" s="24">
        <v>352360000</v>
      </c>
      <c r="FK11" s="4">
        <f t="shared" si="64"/>
        <v>383</v>
      </c>
      <c r="FL11" s="11">
        <f t="shared" si="65"/>
        <v>70472000</v>
      </c>
      <c r="FM11" s="1" t="s">
        <v>593</v>
      </c>
      <c r="FN11" s="2" t="s">
        <v>594</v>
      </c>
      <c r="FO11" s="11">
        <v>470120000</v>
      </c>
      <c r="FP11" s="4">
        <f t="shared" si="66"/>
        <v>511</v>
      </c>
      <c r="FQ11" s="11">
        <f t="shared" si="67"/>
        <v>94024000</v>
      </c>
      <c r="FR11" s="1" t="s">
        <v>595</v>
      </c>
      <c r="FS11" s="2" t="s">
        <v>596</v>
      </c>
      <c r="FT11" s="24">
        <v>218960000</v>
      </c>
      <c r="FU11" s="4">
        <f t="shared" si="68"/>
        <v>238</v>
      </c>
      <c r="FV11" s="11">
        <f t="shared" si="69"/>
        <v>43792000</v>
      </c>
      <c r="FW11" s="1" t="s">
        <v>597</v>
      </c>
      <c r="FX11" s="2" t="s">
        <v>598</v>
      </c>
      <c r="FY11" s="24">
        <v>102120000</v>
      </c>
      <c r="FZ11" s="4">
        <f t="shared" si="70"/>
        <v>111</v>
      </c>
      <c r="GA11" s="11">
        <f t="shared" si="71"/>
        <v>20424000</v>
      </c>
      <c r="GB11" s="1" t="s">
        <v>599</v>
      </c>
      <c r="GC11" s="2" t="s">
        <v>600</v>
      </c>
      <c r="GD11" s="24">
        <v>96600000</v>
      </c>
      <c r="GE11" s="4">
        <f t="shared" si="72"/>
        <v>105</v>
      </c>
      <c r="GF11" s="11">
        <f t="shared" si="73"/>
        <v>19320000</v>
      </c>
      <c r="GG11" s="1" t="s">
        <v>601</v>
      </c>
      <c r="GH11" s="2" t="s">
        <v>602</v>
      </c>
      <c r="GI11" s="24">
        <v>195040000</v>
      </c>
      <c r="GJ11" s="4">
        <f t="shared" si="74"/>
        <v>212</v>
      </c>
      <c r="GK11" s="11">
        <f t="shared" si="75"/>
        <v>39008000</v>
      </c>
      <c r="GL11" s="1" t="s">
        <v>603</v>
      </c>
      <c r="GM11" s="2" t="s">
        <v>604</v>
      </c>
      <c r="GN11" s="24">
        <v>204240000</v>
      </c>
      <c r="GO11" s="4">
        <f t="shared" si="76"/>
        <v>222</v>
      </c>
      <c r="GP11" s="11">
        <f t="shared" si="77"/>
        <v>40848000</v>
      </c>
      <c r="GQ11" s="1" t="s">
        <v>605</v>
      </c>
      <c r="GR11" s="2" t="s">
        <v>606</v>
      </c>
      <c r="GS11" s="24">
        <v>150880000</v>
      </c>
      <c r="GT11" s="4">
        <f t="shared" si="78"/>
        <v>164</v>
      </c>
      <c r="GU11" s="18">
        <f t="shared" si="79"/>
        <v>30176000</v>
      </c>
    </row>
    <row r="12" spans="3:203" x14ac:dyDescent="0.25">
      <c r="C12" s="4">
        <v>8</v>
      </c>
      <c r="D12" s="1" t="s">
        <v>607</v>
      </c>
      <c r="E12" s="2" t="s">
        <v>608</v>
      </c>
      <c r="F12" s="3">
        <v>626520000</v>
      </c>
      <c r="G12" s="4">
        <f t="shared" si="0"/>
        <v>681</v>
      </c>
      <c r="H12" s="3">
        <f t="shared" si="1"/>
        <v>125304000</v>
      </c>
      <c r="I12" s="1" t="s">
        <v>609</v>
      </c>
      <c r="J12" s="2" t="s">
        <v>610</v>
      </c>
      <c r="K12" s="11">
        <v>43240000</v>
      </c>
      <c r="L12" s="4">
        <f t="shared" si="2"/>
        <v>47</v>
      </c>
      <c r="M12" s="11">
        <f t="shared" si="3"/>
        <v>8648000</v>
      </c>
      <c r="N12" s="1" t="s">
        <v>611</v>
      </c>
      <c r="O12" s="2" t="s">
        <v>612</v>
      </c>
      <c r="P12" s="13">
        <v>92920000</v>
      </c>
      <c r="Q12" s="4">
        <f t="shared" si="4"/>
        <v>101</v>
      </c>
      <c r="R12" s="11">
        <f t="shared" si="5"/>
        <v>18584000</v>
      </c>
      <c r="S12" s="1" t="s">
        <v>613</v>
      </c>
      <c r="T12" s="2" t="s">
        <v>614</v>
      </c>
      <c r="U12" s="14">
        <v>271400000</v>
      </c>
      <c r="V12" s="4">
        <f t="shared" si="6"/>
        <v>295</v>
      </c>
      <c r="W12" s="11">
        <f t="shared" si="7"/>
        <v>54280000</v>
      </c>
      <c r="X12" s="1" t="s">
        <v>615</v>
      </c>
      <c r="Y12" s="2" t="s">
        <v>616</v>
      </c>
      <c r="Z12" s="3">
        <v>406640000</v>
      </c>
      <c r="AA12" s="4">
        <f t="shared" si="8"/>
        <v>442</v>
      </c>
      <c r="AB12" s="15">
        <f t="shared" si="9"/>
        <v>81328000</v>
      </c>
      <c r="AC12" s="1" t="s">
        <v>617</v>
      </c>
      <c r="AD12" s="2" t="s">
        <v>618</v>
      </c>
      <c r="AE12" s="11">
        <v>155480000</v>
      </c>
      <c r="AF12" s="4">
        <f t="shared" si="10"/>
        <v>169</v>
      </c>
      <c r="AG12" s="11">
        <f t="shared" si="11"/>
        <v>31096000</v>
      </c>
      <c r="AH12" s="1" t="s">
        <v>619</v>
      </c>
      <c r="AI12" s="2" t="s">
        <v>620</v>
      </c>
      <c r="AJ12" s="10">
        <v>231840000</v>
      </c>
      <c r="AK12" s="4">
        <f t="shared" si="12"/>
        <v>252</v>
      </c>
      <c r="AL12" s="3">
        <f t="shared" si="13"/>
        <v>46368000</v>
      </c>
      <c r="AM12" s="1" t="s">
        <v>621</v>
      </c>
      <c r="AN12" s="2" t="s">
        <v>622</v>
      </c>
      <c r="AO12" s="11">
        <v>174800000</v>
      </c>
      <c r="AP12" s="4">
        <f t="shared" si="14"/>
        <v>190</v>
      </c>
      <c r="AQ12" s="11">
        <f t="shared" si="15"/>
        <v>34960000</v>
      </c>
      <c r="AR12" s="1" t="s">
        <v>623</v>
      </c>
      <c r="AS12" s="2" t="s">
        <v>624</v>
      </c>
      <c r="AT12" s="11">
        <v>364320000</v>
      </c>
      <c r="AU12" s="4">
        <f t="shared" si="16"/>
        <v>396</v>
      </c>
      <c r="AV12" s="11">
        <f t="shared" si="17"/>
        <v>72864000</v>
      </c>
      <c r="AW12" s="1" t="s">
        <v>625</v>
      </c>
      <c r="AX12" s="2" t="s">
        <v>626</v>
      </c>
      <c r="AY12" s="11">
        <v>178480000</v>
      </c>
      <c r="AZ12" s="4">
        <f t="shared" si="18"/>
        <v>194</v>
      </c>
      <c r="BA12" s="11">
        <f t="shared" si="19"/>
        <v>35696000</v>
      </c>
      <c r="BB12" s="1" t="s">
        <v>627</v>
      </c>
      <c r="BC12" s="2" t="s">
        <v>628</v>
      </c>
      <c r="BD12" s="11">
        <v>157320000</v>
      </c>
      <c r="BE12" s="4">
        <f t="shared" si="20"/>
        <v>171</v>
      </c>
      <c r="BF12" s="19">
        <f t="shared" si="21"/>
        <v>31464000</v>
      </c>
      <c r="BG12" s="1" t="s">
        <v>629</v>
      </c>
      <c r="BH12" s="2" t="s">
        <v>630</v>
      </c>
      <c r="BI12" s="11">
        <v>297160000</v>
      </c>
      <c r="BJ12" s="4">
        <f t="shared" si="22"/>
        <v>323</v>
      </c>
      <c r="BK12" s="11">
        <f t="shared" si="23"/>
        <v>59432000</v>
      </c>
      <c r="BL12" s="1" t="s">
        <v>631</v>
      </c>
      <c r="BM12" s="2" t="s">
        <v>632</v>
      </c>
      <c r="BN12" s="11">
        <v>230920000</v>
      </c>
      <c r="BO12" s="4">
        <f t="shared" si="24"/>
        <v>251</v>
      </c>
      <c r="BP12" s="11">
        <f t="shared" si="25"/>
        <v>46184000</v>
      </c>
      <c r="BQ12" s="1" t="s">
        <v>633</v>
      </c>
      <c r="BR12" s="2" t="s">
        <v>634</v>
      </c>
      <c r="BS12" s="11">
        <v>113160000</v>
      </c>
      <c r="BT12" s="4">
        <f t="shared" si="26"/>
        <v>123</v>
      </c>
      <c r="BU12" s="11">
        <f t="shared" si="27"/>
        <v>22632000</v>
      </c>
      <c r="BV12" s="1" t="s">
        <v>635</v>
      </c>
      <c r="BW12" s="2" t="s">
        <v>636</v>
      </c>
      <c r="BX12" s="11">
        <v>330280000</v>
      </c>
      <c r="BY12" s="4">
        <f t="shared" si="28"/>
        <v>359</v>
      </c>
      <c r="BZ12" s="11">
        <f t="shared" si="29"/>
        <v>66056000</v>
      </c>
      <c r="CA12" s="1" t="s">
        <v>637</v>
      </c>
      <c r="CB12" s="2" t="s">
        <v>638</v>
      </c>
      <c r="CC12" s="11">
        <v>418600000</v>
      </c>
      <c r="CD12" s="4">
        <f t="shared" si="30"/>
        <v>455</v>
      </c>
      <c r="CE12" s="11">
        <f t="shared" si="31"/>
        <v>83720000</v>
      </c>
      <c r="CF12" s="1" t="s">
        <v>639</v>
      </c>
      <c r="CG12" s="2" t="s">
        <v>640</v>
      </c>
      <c r="CH12" s="3">
        <v>148120000</v>
      </c>
      <c r="CI12" s="4">
        <f t="shared" si="32"/>
        <v>161</v>
      </c>
      <c r="CJ12" s="11">
        <f t="shared" si="33"/>
        <v>29624000</v>
      </c>
      <c r="CK12" s="1" t="s">
        <v>641</v>
      </c>
      <c r="CL12" s="2" t="s">
        <v>642</v>
      </c>
      <c r="CM12" s="11">
        <v>212520000</v>
      </c>
      <c r="CN12" s="4">
        <f t="shared" si="34"/>
        <v>231</v>
      </c>
      <c r="CO12" s="11">
        <f t="shared" si="35"/>
        <v>42504000</v>
      </c>
      <c r="CP12" s="1" t="s">
        <v>643</v>
      </c>
      <c r="CQ12" s="2" t="s">
        <v>644</v>
      </c>
      <c r="CR12" s="11">
        <v>179400000</v>
      </c>
      <c r="CS12" s="4">
        <f t="shared" si="36"/>
        <v>195</v>
      </c>
      <c r="CT12" s="11">
        <f t="shared" si="37"/>
        <v>35880000</v>
      </c>
      <c r="CU12" s="1" t="s">
        <v>645</v>
      </c>
      <c r="CV12" s="2" t="s">
        <v>646</v>
      </c>
      <c r="CW12" s="11">
        <v>173880000</v>
      </c>
      <c r="CX12" s="4">
        <f t="shared" si="38"/>
        <v>189</v>
      </c>
      <c r="CY12" s="11">
        <f t="shared" si="39"/>
        <v>34776000</v>
      </c>
      <c r="CZ12" s="1" t="s">
        <v>647</v>
      </c>
      <c r="DA12" s="2" t="s">
        <v>648</v>
      </c>
      <c r="DB12" s="11">
        <v>270480000</v>
      </c>
      <c r="DC12" s="4">
        <f t="shared" si="40"/>
        <v>294</v>
      </c>
      <c r="DD12" s="11">
        <f t="shared" si="41"/>
        <v>54096000</v>
      </c>
      <c r="DE12" s="1" t="s">
        <v>649</v>
      </c>
      <c r="DF12" s="2" t="s">
        <v>650</v>
      </c>
      <c r="DG12" s="11">
        <v>396520000</v>
      </c>
      <c r="DH12" s="4">
        <f t="shared" si="42"/>
        <v>431</v>
      </c>
      <c r="DI12" s="11">
        <f t="shared" si="43"/>
        <v>79304000</v>
      </c>
      <c r="DJ12" s="1" t="s">
        <v>651</v>
      </c>
      <c r="DK12" s="2" t="s">
        <v>652</v>
      </c>
      <c r="DL12" s="11">
        <v>201480000</v>
      </c>
      <c r="DM12" s="29">
        <f t="shared" si="44"/>
        <v>219</v>
      </c>
      <c r="DN12" s="11">
        <f t="shared" si="45"/>
        <v>40296000</v>
      </c>
      <c r="DO12" s="1" t="s">
        <v>653</v>
      </c>
      <c r="DP12" s="2" t="s">
        <v>654</v>
      </c>
      <c r="DQ12" s="24">
        <v>112240000</v>
      </c>
      <c r="DR12" s="4">
        <f t="shared" si="46"/>
        <v>122</v>
      </c>
      <c r="DS12" s="3">
        <f t="shared" si="47"/>
        <v>22448000</v>
      </c>
      <c r="DT12" s="1" t="s">
        <v>655</v>
      </c>
      <c r="DU12" s="2" t="s">
        <v>656</v>
      </c>
      <c r="DV12" s="11">
        <v>270480000</v>
      </c>
      <c r="DW12" s="4">
        <f t="shared" si="48"/>
        <v>294</v>
      </c>
      <c r="DX12" s="11">
        <f t="shared" si="49"/>
        <v>54096000</v>
      </c>
      <c r="DY12" s="1" t="s">
        <v>657</v>
      </c>
      <c r="DZ12" s="2" t="s">
        <v>658</v>
      </c>
      <c r="EA12" s="24">
        <v>69000000</v>
      </c>
      <c r="EB12" s="4">
        <f t="shared" si="50"/>
        <v>75</v>
      </c>
      <c r="EC12" s="11">
        <f t="shared" si="51"/>
        <v>13800000</v>
      </c>
      <c r="ED12" s="1" t="s">
        <v>659</v>
      </c>
      <c r="EE12" s="2" t="s">
        <v>660</v>
      </c>
      <c r="EF12" s="11">
        <v>181240000</v>
      </c>
      <c r="EG12" s="4">
        <f t="shared" si="52"/>
        <v>197</v>
      </c>
      <c r="EH12" s="11">
        <f t="shared" si="53"/>
        <v>36248000</v>
      </c>
      <c r="EI12" s="1" t="s">
        <v>661</v>
      </c>
      <c r="EJ12" s="2" t="s">
        <v>662</v>
      </c>
      <c r="EK12" s="24">
        <v>94760000</v>
      </c>
      <c r="EL12" s="4">
        <f t="shared" si="54"/>
        <v>103</v>
      </c>
      <c r="EM12" s="11">
        <f t="shared" si="55"/>
        <v>18952000</v>
      </c>
      <c r="EN12" s="1" t="s">
        <v>663</v>
      </c>
      <c r="EO12" s="2" t="s">
        <v>664</v>
      </c>
      <c r="EP12" s="11">
        <v>147200000</v>
      </c>
      <c r="EQ12" s="4">
        <f t="shared" si="56"/>
        <v>160</v>
      </c>
      <c r="ER12" s="11">
        <f t="shared" si="57"/>
        <v>29440000</v>
      </c>
      <c r="ES12" s="1" t="s">
        <v>665</v>
      </c>
      <c r="ET12" s="2" t="s">
        <v>666</v>
      </c>
      <c r="EU12" s="24">
        <v>108560000</v>
      </c>
      <c r="EV12" s="4">
        <f t="shared" si="58"/>
        <v>118</v>
      </c>
      <c r="EW12" s="11">
        <f t="shared" si="59"/>
        <v>21712000</v>
      </c>
      <c r="EX12" s="1" t="s">
        <v>667</v>
      </c>
      <c r="EY12" s="2" t="s">
        <v>668</v>
      </c>
      <c r="EZ12" s="24">
        <v>197800000</v>
      </c>
      <c r="FA12" s="4">
        <f t="shared" si="60"/>
        <v>215</v>
      </c>
      <c r="FB12" s="11">
        <f t="shared" si="61"/>
        <v>39560000</v>
      </c>
      <c r="FC12" s="1" t="s">
        <v>669</v>
      </c>
      <c r="FD12" s="2" t="s">
        <v>670</v>
      </c>
      <c r="FE12" s="24">
        <v>276000000</v>
      </c>
      <c r="FF12" s="4">
        <f t="shared" si="62"/>
        <v>300</v>
      </c>
      <c r="FG12" s="11">
        <f t="shared" si="63"/>
        <v>55200000</v>
      </c>
      <c r="FH12" s="1" t="s">
        <v>671</v>
      </c>
      <c r="FI12" s="2" t="s">
        <v>672</v>
      </c>
      <c r="FJ12" s="24">
        <v>188600000</v>
      </c>
      <c r="FK12" s="4">
        <f t="shared" si="64"/>
        <v>205</v>
      </c>
      <c r="FL12" s="11">
        <f t="shared" si="65"/>
        <v>37720000</v>
      </c>
      <c r="FM12" s="1" t="s">
        <v>673</v>
      </c>
      <c r="FN12" s="2" t="s">
        <v>674</v>
      </c>
      <c r="FO12" s="11">
        <v>123280000</v>
      </c>
      <c r="FP12" s="4">
        <f t="shared" si="66"/>
        <v>134</v>
      </c>
      <c r="FQ12" s="11">
        <f t="shared" si="67"/>
        <v>24656000</v>
      </c>
      <c r="FR12" s="1" t="s">
        <v>675</v>
      </c>
      <c r="FS12" s="2" t="s">
        <v>676</v>
      </c>
      <c r="FT12" s="24">
        <v>189520000</v>
      </c>
      <c r="FU12" s="4">
        <f t="shared" si="68"/>
        <v>206</v>
      </c>
      <c r="FV12" s="11">
        <f t="shared" si="69"/>
        <v>37904000</v>
      </c>
      <c r="FW12" s="1" t="s">
        <v>677</v>
      </c>
      <c r="FX12" s="2" t="s">
        <v>678</v>
      </c>
      <c r="FY12" s="24">
        <v>201480000</v>
      </c>
      <c r="FZ12" s="4">
        <f t="shared" si="70"/>
        <v>219</v>
      </c>
      <c r="GA12" s="11">
        <f t="shared" si="71"/>
        <v>40296000</v>
      </c>
      <c r="GB12" s="1" t="s">
        <v>679</v>
      </c>
      <c r="GC12" s="2" t="s">
        <v>680</v>
      </c>
      <c r="GD12" s="24">
        <v>339480000</v>
      </c>
      <c r="GE12" s="4">
        <f t="shared" si="72"/>
        <v>369</v>
      </c>
      <c r="GF12" s="11">
        <f t="shared" si="73"/>
        <v>67896000</v>
      </c>
      <c r="GG12" s="1" t="s">
        <v>681</v>
      </c>
      <c r="GH12" s="2" t="s">
        <v>682</v>
      </c>
      <c r="GI12" s="24">
        <v>253000000</v>
      </c>
      <c r="GJ12" s="4">
        <f t="shared" si="74"/>
        <v>275</v>
      </c>
      <c r="GK12" s="11">
        <f t="shared" si="75"/>
        <v>50600000</v>
      </c>
      <c r="GL12" s="1" t="s">
        <v>683</v>
      </c>
      <c r="GM12" s="2" t="s">
        <v>684</v>
      </c>
      <c r="GN12" s="24">
        <v>106720000</v>
      </c>
      <c r="GO12" s="4">
        <f t="shared" si="76"/>
        <v>116</v>
      </c>
      <c r="GP12" s="11">
        <f t="shared" si="77"/>
        <v>21344000</v>
      </c>
      <c r="GQ12" s="1" t="s">
        <v>685</v>
      </c>
      <c r="GR12" s="2" t="s">
        <v>686</v>
      </c>
      <c r="GS12" s="24">
        <v>544640000</v>
      </c>
      <c r="GT12" s="4">
        <f t="shared" si="78"/>
        <v>592</v>
      </c>
      <c r="GU12" s="18">
        <f t="shared" si="79"/>
        <v>108928000</v>
      </c>
    </row>
    <row r="13" spans="3:203" x14ac:dyDescent="0.25">
      <c r="C13" s="4">
        <v>9</v>
      </c>
      <c r="D13" s="1" t="s">
        <v>687</v>
      </c>
      <c r="E13" s="2" t="s">
        <v>688</v>
      </c>
      <c r="F13" s="3">
        <v>106720000</v>
      </c>
      <c r="G13" s="4">
        <f t="shared" si="0"/>
        <v>116</v>
      </c>
      <c r="H13" s="3">
        <f t="shared" si="1"/>
        <v>21344000</v>
      </c>
      <c r="I13" s="1" t="s">
        <v>689</v>
      </c>
      <c r="J13" s="2" t="s">
        <v>690</v>
      </c>
      <c r="K13" s="11">
        <v>209760000</v>
      </c>
      <c r="L13" s="4">
        <f t="shared" si="2"/>
        <v>228</v>
      </c>
      <c r="M13" s="11">
        <f t="shared" si="3"/>
        <v>41952000</v>
      </c>
      <c r="N13" s="1" t="s">
        <v>691</v>
      </c>
      <c r="O13" s="2" t="s">
        <v>692</v>
      </c>
      <c r="P13" s="13">
        <v>161920000</v>
      </c>
      <c r="Q13" s="4">
        <f t="shared" si="4"/>
        <v>176</v>
      </c>
      <c r="R13" s="11">
        <f t="shared" si="5"/>
        <v>32384000</v>
      </c>
      <c r="S13" s="1" t="s">
        <v>693</v>
      </c>
      <c r="T13" s="2" t="s">
        <v>694</v>
      </c>
      <c r="U13" s="14">
        <v>155480000</v>
      </c>
      <c r="V13" s="4">
        <f t="shared" si="6"/>
        <v>169</v>
      </c>
      <c r="W13" s="11">
        <f t="shared" si="7"/>
        <v>31096000</v>
      </c>
      <c r="X13" s="1" t="s">
        <v>695</v>
      </c>
      <c r="Y13" s="2" t="s">
        <v>696</v>
      </c>
      <c r="Z13" s="3">
        <v>106720000</v>
      </c>
      <c r="AA13" s="4">
        <f t="shared" si="8"/>
        <v>116</v>
      </c>
      <c r="AB13" s="15">
        <f t="shared" si="9"/>
        <v>21344000</v>
      </c>
      <c r="AC13" s="1" t="s">
        <v>697</v>
      </c>
      <c r="AD13" s="2" t="s">
        <v>698</v>
      </c>
      <c r="AE13" s="11">
        <v>195040000</v>
      </c>
      <c r="AF13" s="4">
        <f t="shared" si="10"/>
        <v>212</v>
      </c>
      <c r="AG13" s="11">
        <f t="shared" si="11"/>
        <v>39008000</v>
      </c>
      <c r="AH13" s="1" t="s">
        <v>699</v>
      </c>
      <c r="AI13" s="2" t="s">
        <v>700</v>
      </c>
      <c r="AJ13" s="10">
        <v>355120000</v>
      </c>
      <c r="AK13" s="4">
        <f t="shared" si="12"/>
        <v>386</v>
      </c>
      <c r="AL13" s="3">
        <f t="shared" si="13"/>
        <v>71024000</v>
      </c>
      <c r="AM13" s="1" t="s">
        <v>701</v>
      </c>
      <c r="AN13" s="2" t="s">
        <v>702</v>
      </c>
      <c r="AO13" s="11">
        <v>103960000</v>
      </c>
      <c r="AP13" s="4">
        <f t="shared" si="14"/>
        <v>113</v>
      </c>
      <c r="AQ13" s="11">
        <f t="shared" si="15"/>
        <v>20792000</v>
      </c>
      <c r="AR13" s="1" t="s">
        <v>703</v>
      </c>
      <c r="AS13" s="2" t="s">
        <v>704</v>
      </c>
      <c r="AT13" s="11">
        <v>425040000</v>
      </c>
      <c r="AU13" s="4">
        <f t="shared" si="16"/>
        <v>462</v>
      </c>
      <c r="AV13" s="11">
        <f t="shared" si="17"/>
        <v>85008000</v>
      </c>
      <c r="AW13" s="1" t="s">
        <v>705</v>
      </c>
      <c r="AX13" s="2" t="s">
        <v>706</v>
      </c>
      <c r="AY13" s="11">
        <v>180320000</v>
      </c>
      <c r="AZ13" s="4">
        <f t="shared" si="18"/>
        <v>196</v>
      </c>
      <c r="BA13" s="11">
        <f t="shared" si="19"/>
        <v>36064000</v>
      </c>
      <c r="BB13" s="1" t="s">
        <v>707</v>
      </c>
      <c r="BC13" s="2" t="s">
        <v>708</v>
      </c>
      <c r="BD13" s="11">
        <v>111320000</v>
      </c>
      <c r="BE13" s="4">
        <f t="shared" si="20"/>
        <v>121</v>
      </c>
      <c r="BF13" s="19">
        <f t="shared" si="21"/>
        <v>22264000</v>
      </c>
      <c r="BG13" s="1" t="s">
        <v>709</v>
      </c>
      <c r="BH13" s="2" t="s">
        <v>710</v>
      </c>
      <c r="BI13" s="11">
        <v>103040000</v>
      </c>
      <c r="BJ13" s="4">
        <f t="shared" si="22"/>
        <v>112</v>
      </c>
      <c r="BK13" s="11">
        <f t="shared" si="23"/>
        <v>20608000</v>
      </c>
      <c r="BL13" s="1" t="s">
        <v>711</v>
      </c>
      <c r="BM13" s="2" t="s">
        <v>638</v>
      </c>
      <c r="BN13" s="11">
        <v>254840000</v>
      </c>
      <c r="BO13" s="4">
        <f t="shared" si="24"/>
        <v>277</v>
      </c>
      <c r="BP13" s="11">
        <f t="shared" si="25"/>
        <v>50968000</v>
      </c>
      <c r="BQ13" s="1" t="s">
        <v>712</v>
      </c>
      <c r="BR13" s="2" t="s">
        <v>713</v>
      </c>
      <c r="BS13" s="11">
        <v>299920000</v>
      </c>
      <c r="BT13" s="4">
        <f t="shared" si="26"/>
        <v>326</v>
      </c>
      <c r="BU13" s="11">
        <f t="shared" si="27"/>
        <v>59984000</v>
      </c>
      <c r="BV13" s="1" t="s">
        <v>714</v>
      </c>
      <c r="BW13" s="2" t="s">
        <v>715</v>
      </c>
      <c r="BX13" s="11">
        <v>195040000</v>
      </c>
      <c r="BY13" s="4">
        <f t="shared" si="28"/>
        <v>212</v>
      </c>
      <c r="BZ13" s="11">
        <f t="shared" si="29"/>
        <v>39008000</v>
      </c>
      <c r="CA13" s="1" t="s">
        <v>716</v>
      </c>
      <c r="CB13" s="2" t="s">
        <v>717</v>
      </c>
      <c r="CC13" s="11">
        <v>527160000</v>
      </c>
      <c r="CD13" s="4">
        <f t="shared" si="30"/>
        <v>573</v>
      </c>
      <c r="CE13" s="11">
        <f t="shared" si="31"/>
        <v>105432000</v>
      </c>
      <c r="CF13" s="1" t="s">
        <v>718</v>
      </c>
      <c r="CG13" s="2" t="s">
        <v>719</v>
      </c>
      <c r="CH13" s="3">
        <v>128800000</v>
      </c>
      <c r="CI13" s="4">
        <f t="shared" si="32"/>
        <v>140</v>
      </c>
      <c r="CJ13" s="11">
        <f t="shared" si="33"/>
        <v>25760000</v>
      </c>
      <c r="CK13" s="1" t="s">
        <v>720</v>
      </c>
      <c r="CL13" s="2" t="s">
        <v>721</v>
      </c>
      <c r="CM13" s="11">
        <v>168360000</v>
      </c>
      <c r="CN13" s="4">
        <f t="shared" si="34"/>
        <v>183</v>
      </c>
      <c r="CO13" s="11">
        <f t="shared" si="35"/>
        <v>33672000</v>
      </c>
      <c r="CP13" s="1" t="s">
        <v>722</v>
      </c>
      <c r="CQ13" s="2" t="s">
        <v>723</v>
      </c>
      <c r="CR13" s="11">
        <v>211600000</v>
      </c>
      <c r="CS13" s="4">
        <f t="shared" si="36"/>
        <v>230</v>
      </c>
      <c r="CT13" s="11">
        <f t="shared" si="37"/>
        <v>42320000</v>
      </c>
      <c r="CU13" s="1" t="s">
        <v>724</v>
      </c>
      <c r="CV13" s="2" t="s">
        <v>725</v>
      </c>
      <c r="CW13" s="11">
        <v>235520000</v>
      </c>
      <c r="CX13" s="4">
        <f t="shared" si="38"/>
        <v>256</v>
      </c>
      <c r="CY13" s="11">
        <f t="shared" si="39"/>
        <v>47104000</v>
      </c>
      <c r="CZ13" s="1" t="s">
        <v>726</v>
      </c>
      <c r="DA13" s="2" t="s">
        <v>727</v>
      </c>
      <c r="DB13" s="11">
        <v>323840000</v>
      </c>
      <c r="DC13" s="4">
        <f t="shared" si="40"/>
        <v>352</v>
      </c>
      <c r="DD13" s="11">
        <f t="shared" si="41"/>
        <v>64768000</v>
      </c>
      <c r="DE13" s="1" t="s">
        <v>728</v>
      </c>
      <c r="DF13" s="2" t="s">
        <v>729</v>
      </c>
      <c r="DG13" s="11">
        <v>149040000</v>
      </c>
      <c r="DH13" s="4">
        <f t="shared" si="42"/>
        <v>162</v>
      </c>
      <c r="DI13" s="11">
        <f t="shared" si="43"/>
        <v>29808000</v>
      </c>
      <c r="DJ13" s="1" t="s">
        <v>730</v>
      </c>
      <c r="DK13" s="2" t="s">
        <v>731</v>
      </c>
      <c r="DL13" s="11">
        <v>157320000</v>
      </c>
      <c r="DM13" s="29">
        <f t="shared" si="44"/>
        <v>171</v>
      </c>
      <c r="DN13" s="11">
        <f t="shared" si="45"/>
        <v>31464000</v>
      </c>
      <c r="DO13" s="1" t="s">
        <v>732</v>
      </c>
      <c r="DP13" s="2" t="s">
        <v>733</v>
      </c>
      <c r="DQ13" s="24">
        <v>210680000</v>
      </c>
      <c r="DR13" s="4">
        <f t="shared" si="46"/>
        <v>229</v>
      </c>
      <c r="DS13" s="3">
        <f t="shared" si="47"/>
        <v>42136000</v>
      </c>
      <c r="DT13" s="1" t="s">
        <v>734</v>
      </c>
      <c r="DU13" s="2" t="s">
        <v>735</v>
      </c>
      <c r="DV13" s="11">
        <v>322000000</v>
      </c>
      <c r="DW13" s="4">
        <f t="shared" si="48"/>
        <v>350</v>
      </c>
      <c r="DX13" s="11">
        <f t="shared" si="49"/>
        <v>64400000</v>
      </c>
      <c r="DY13" s="1" t="s">
        <v>736</v>
      </c>
      <c r="DZ13" s="2" t="s">
        <v>737</v>
      </c>
      <c r="EA13" s="24">
        <v>207000000</v>
      </c>
      <c r="EB13" s="4">
        <f t="shared" si="50"/>
        <v>225</v>
      </c>
      <c r="EC13" s="11">
        <f t="shared" si="51"/>
        <v>41400000</v>
      </c>
      <c r="ED13" s="1" t="s">
        <v>738</v>
      </c>
      <c r="EE13" s="2" t="s">
        <v>739</v>
      </c>
      <c r="EF13" s="11">
        <v>131560000</v>
      </c>
      <c r="EG13" s="4">
        <f t="shared" si="52"/>
        <v>143</v>
      </c>
      <c r="EH13" s="11">
        <f t="shared" si="53"/>
        <v>26312000</v>
      </c>
      <c r="EI13" s="1" t="s">
        <v>740</v>
      </c>
      <c r="EJ13" s="2" t="s">
        <v>741</v>
      </c>
      <c r="EK13" s="24">
        <v>282440000</v>
      </c>
      <c r="EL13" s="4">
        <f t="shared" si="54"/>
        <v>307</v>
      </c>
      <c r="EM13" s="11">
        <f t="shared" si="55"/>
        <v>56488000</v>
      </c>
      <c r="EN13" s="1" t="s">
        <v>742</v>
      </c>
      <c r="EO13" s="2" t="s">
        <v>743</v>
      </c>
      <c r="EP13" s="11">
        <v>155480000</v>
      </c>
      <c r="EQ13" s="4">
        <f t="shared" si="56"/>
        <v>169</v>
      </c>
      <c r="ER13" s="11">
        <f t="shared" si="57"/>
        <v>31096000</v>
      </c>
      <c r="ES13" s="1" t="s">
        <v>744</v>
      </c>
      <c r="ET13" s="2" t="s">
        <v>745</v>
      </c>
      <c r="EU13" s="24">
        <v>195040000</v>
      </c>
      <c r="EV13" s="4">
        <f t="shared" si="58"/>
        <v>212</v>
      </c>
      <c r="EW13" s="11">
        <f t="shared" si="59"/>
        <v>39008000</v>
      </c>
      <c r="EX13" s="1" t="s">
        <v>746</v>
      </c>
      <c r="EY13" s="2" t="s">
        <v>747</v>
      </c>
      <c r="EZ13" s="24">
        <v>150880000</v>
      </c>
      <c r="FA13" s="4">
        <f t="shared" si="60"/>
        <v>164</v>
      </c>
      <c r="FB13" s="11">
        <f t="shared" si="61"/>
        <v>30176000</v>
      </c>
      <c r="FC13" s="1" t="s">
        <v>748</v>
      </c>
      <c r="FD13" s="2" t="s">
        <v>749</v>
      </c>
      <c r="FE13" s="24">
        <v>128800000</v>
      </c>
      <c r="FF13" s="4">
        <f t="shared" si="62"/>
        <v>140</v>
      </c>
      <c r="FG13" s="11">
        <f t="shared" si="63"/>
        <v>25760000</v>
      </c>
      <c r="FH13" s="1" t="s">
        <v>750</v>
      </c>
      <c r="FI13" s="2" t="s">
        <v>751</v>
      </c>
      <c r="FJ13" s="24">
        <v>135240000</v>
      </c>
      <c r="FK13" s="4">
        <f t="shared" si="64"/>
        <v>147</v>
      </c>
      <c r="FL13" s="11">
        <f t="shared" si="65"/>
        <v>27048000</v>
      </c>
      <c r="FM13" s="1" t="s">
        <v>752</v>
      </c>
      <c r="FN13" s="2" t="s">
        <v>753</v>
      </c>
      <c r="FO13" s="11">
        <v>297160000</v>
      </c>
      <c r="FP13" s="4">
        <f t="shared" si="66"/>
        <v>323</v>
      </c>
      <c r="FQ13" s="11">
        <f t="shared" si="67"/>
        <v>59432000</v>
      </c>
      <c r="FR13" s="1" t="s">
        <v>754</v>
      </c>
      <c r="FS13" s="2" t="s">
        <v>755</v>
      </c>
      <c r="FT13" s="24">
        <v>276920000</v>
      </c>
      <c r="FU13" s="4">
        <f t="shared" si="68"/>
        <v>301</v>
      </c>
      <c r="FV13" s="11">
        <f t="shared" si="69"/>
        <v>55384000</v>
      </c>
      <c r="FW13" s="1" t="s">
        <v>756</v>
      </c>
      <c r="FX13" s="2" t="s">
        <v>757</v>
      </c>
      <c r="FY13" s="24">
        <v>134320000</v>
      </c>
      <c r="FZ13" s="4">
        <f t="shared" si="70"/>
        <v>146</v>
      </c>
      <c r="GA13" s="11">
        <f t="shared" si="71"/>
        <v>26864000</v>
      </c>
      <c r="GB13" s="1" t="s">
        <v>758</v>
      </c>
      <c r="GC13" s="2" t="s">
        <v>759</v>
      </c>
      <c r="GD13" s="24">
        <v>241960000</v>
      </c>
      <c r="GE13" s="4">
        <f t="shared" si="72"/>
        <v>263</v>
      </c>
      <c r="GF13" s="11">
        <f t="shared" si="73"/>
        <v>48392000</v>
      </c>
      <c r="GG13" s="1" t="s">
        <v>760</v>
      </c>
      <c r="GH13" s="2" t="s">
        <v>761</v>
      </c>
      <c r="GI13" s="24">
        <v>214360000</v>
      </c>
      <c r="GJ13" s="4">
        <f t="shared" si="74"/>
        <v>233</v>
      </c>
      <c r="GK13" s="11">
        <f t="shared" si="75"/>
        <v>42872000</v>
      </c>
      <c r="GL13" s="1" t="s">
        <v>762</v>
      </c>
      <c r="GM13" s="2" t="s">
        <v>763</v>
      </c>
      <c r="GN13" s="24">
        <v>164680000</v>
      </c>
      <c r="GO13" s="4">
        <f t="shared" si="76"/>
        <v>179</v>
      </c>
      <c r="GP13" s="11">
        <f t="shared" si="77"/>
        <v>32936000</v>
      </c>
      <c r="GQ13" s="1" t="s">
        <v>764</v>
      </c>
      <c r="GR13" s="2" t="s">
        <v>765</v>
      </c>
      <c r="GS13" s="24">
        <v>200560000</v>
      </c>
      <c r="GT13" s="4">
        <f t="shared" si="78"/>
        <v>218</v>
      </c>
      <c r="GU13" s="18">
        <f t="shared" si="79"/>
        <v>40112000</v>
      </c>
    </row>
    <row r="14" spans="3:203" x14ac:dyDescent="0.25">
      <c r="C14" s="4">
        <v>10</v>
      </c>
      <c r="D14" s="1" t="s">
        <v>766</v>
      </c>
      <c r="E14" s="2" t="s">
        <v>767</v>
      </c>
      <c r="F14" s="3">
        <v>193200000</v>
      </c>
      <c r="G14" s="4">
        <f t="shared" si="0"/>
        <v>210</v>
      </c>
      <c r="H14" s="3">
        <f t="shared" si="1"/>
        <v>38640000</v>
      </c>
      <c r="I14" s="1" t="s">
        <v>768</v>
      </c>
      <c r="J14" s="2" t="s">
        <v>769</v>
      </c>
      <c r="K14" s="11">
        <v>387320000</v>
      </c>
      <c r="L14" s="4">
        <f t="shared" si="2"/>
        <v>421</v>
      </c>
      <c r="M14" s="11">
        <f t="shared" si="3"/>
        <v>77464000</v>
      </c>
      <c r="N14" s="1" t="s">
        <v>770</v>
      </c>
      <c r="O14" s="2" t="s">
        <v>771</v>
      </c>
      <c r="P14" s="13">
        <v>379960000</v>
      </c>
      <c r="Q14" s="4">
        <f t="shared" si="4"/>
        <v>413</v>
      </c>
      <c r="R14" s="11">
        <f t="shared" si="5"/>
        <v>75992000</v>
      </c>
      <c r="S14" s="1" t="s">
        <v>772</v>
      </c>
      <c r="T14" s="2" t="s">
        <v>773</v>
      </c>
      <c r="U14" s="14">
        <v>161000000</v>
      </c>
      <c r="V14" s="4">
        <f t="shared" si="6"/>
        <v>175</v>
      </c>
      <c r="W14" s="11">
        <f t="shared" si="7"/>
        <v>32200000</v>
      </c>
      <c r="X14" s="1" t="s">
        <v>774</v>
      </c>
      <c r="Y14" s="2" t="s">
        <v>775</v>
      </c>
      <c r="Z14" s="3">
        <v>180320000</v>
      </c>
      <c r="AA14" s="4">
        <f t="shared" si="8"/>
        <v>196</v>
      </c>
      <c r="AB14" s="15">
        <f t="shared" si="9"/>
        <v>36064000</v>
      </c>
      <c r="AC14" s="1" t="s">
        <v>776</v>
      </c>
      <c r="AD14" s="2" t="s">
        <v>777</v>
      </c>
      <c r="AE14" s="11">
        <v>494960000</v>
      </c>
      <c r="AF14" s="4">
        <f t="shared" si="10"/>
        <v>538</v>
      </c>
      <c r="AG14" s="11">
        <f t="shared" si="11"/>
        <v>98992000</v>
      </c>
      <c r="AH14" s="1" t="s">
        <v>778</v>
      </c>
      <c r="AI14" s="2" t="s">
        <v>779</v>
      </c>
      <c r="AJ14" s="10">
        <v>131560000</v>
      </c>
      <c r="AK14" s="4">
        <f t="shared" si="12"/>
        <v>143</v>
      </c>
      <c r="AL14" s="3">
        <f t="shared" si="13"/>
        <v>26312000</v>
      </c>
      <c r="AM14" s="1" t="s">
        <v>780</v>
      </c>
      <c r="AN14" s="2" t="s">
        <v>781</v>
      </c>
      <c r="AO14" s="11">
        <v>138000000</v>
      </c>
      <c r="AP14" s="4">
        <f t="shared" si="14"/>
        <v>150</v>
      </c>
      <c r="AQ14" s="11">
        <f t="shared" si="15"/>
        <v>27600000</v>
      </c>
      <c r="AR14" s="1" t="s">
        <v>782</v>
      </c>
      <c r="AS14" s="2" t="s">
        <v>783</v>
      </c>
      <c r="AT14" s="11">
        <v>205160000</v>
      </c>
      <c r="AU14" s="4">
        <f t="shared" si="16"/>
        <v>223</v>
      </c>
      <c r="AV14" s="11">
        <f t="shared" si="17"/>
        <v>41032000</v>
      </c>
      <c r="AW14" s="1" t="s">
        <v>784</v>
      </c>
      <c r="AX14" s="2" t="s">
        <v>785</v>
      </c>
      <c r="AY14" s="11">
        <v>113160000</v>
      </c>
      <c r="AZ14" s="4">
        <f t="shared" si="18"/>
        <v>123</v>
      </c>
      <c r="BA14" s="11">
        <f t="shared" si="19"/>
        <v>22632000</v>
      </c>
      <c r="BB14" s="1" t="s">
        <v>786</v>
      </c>
      <c r="BC14" s="2" t="s">
        <v>787</v>
      </c>
      <c r="BD14" s="11">
        <v>206080000</v>
      </c>
      <c r="BE14" s="4">
        <f t="shared" si="20"/>
        <v>224</v>
      </c>
      <c r="BF14" s="19">
        <f t="shared" si="21"/>
        <v>41216000</v>
      </c>
      <c r="BG14" s="1" t="s">
        <v>788</v>
      </c>
      <c r="BH14" s="2" t="s">
        <v>789</v>
      </c>
      <c r="BI14" s="11">
        <v>379040000</v>
      </c>
      <c r="BJ14" s="4">
        <f t="shared" si="22"/>
        <v>412</v>
      </c>
      <c r="BK14" s="11">
        <f t="shared" si="23"/>
        <v>75808000</v>
      </c>
      <c r="BL14" s="1" t="s">
        <v>790</v>
      </c>
      <c r="BM14" s="2" t="s">
        <v>791</v>
      </c>
      <c r="BN14" s="11">
        <v>437920000</v>
      </c>
      <c r="BO14" s="4">
        <f t="shared" si="24"/>
        <v>476</v>
      </c>
      <c r="BP14" s="11">
        <f t="shared" si="25"/>
        <v>87584000</v>
      </c>
      <c r="BQ14" s="1" t="s">
        <v>792</v>
      </c>
      <c r="BR14" s="2" t="s">
        <v>793</v>
      </c>
      <c r="BS14" s="11">
        <v>143520000</v>
      </c>
      <c r="BT14" s="4">
        <f t="shared" si="26"/>
        <v>156</v>
      </c>
      <c r="BU14" s="11">
        <f t="shared" si="27"/>
        <v>28704000</v>
      </c>
      <c r="BV14" s="1" t="s">
        <v>794</v>
      </c>
      <c r="BW14" s="2" t="s">
        <v>795</v>
      </c>
      <c r="BX14" s="11">
        <v>156400000</v>
      </c>
      <c r="BY14" s="4">
        <f t="shared" si="28"/>
        <v>170</v>
      </c>
      <c r="BZ14" s="11">
        <f t="shared" si="29"/>
        <v>31280000</v>
      </c>
      <c r="CA14" s="1" t="s">
        <v>796</v>
      </c>
      <c r="CB14" s="2" t="s">
        <v>797</v>
      </c>
      <c r="CC14" s="11">
        <v>336720000</v>
      </c>
      <c r="CD14" s="4">
        <f t="shared" si="30"/>
        <v>366</v>
      </c>
      <c r="CE14" s="11">
        <f t="shared" si="31"/>
        <v>67344000</v>
      </c>
      <c r="CF14" s="1" t="s">
        <v>798</v>
      </c>
      <c r="CG14" s="2" t="s">
        <v>799</v>
      </c>
      <c r="CH14" s="3">
        <v>71760000</v>
      </c>
      <c r="CI14" s="4">
        <f t="shared" si="32"/>
        <v>78</v>
      </c>
      <c r="CJ14" s="11">
        <f t="shared" si="33"/>
        <v>14352000</v>
      </c>
      <c r="CK14" s="1" t="s">
        <v>800</v>
      </c>
      <c r="CL14" s="2" t="s">
        <v>801</v>
      </c>
      <c r="CM14" s="11">
        <v>417680000</v>
      </c>
      <c r="CN14" s="4">
        <f t="shared" si="34"/>
        <v>454</v>
      </c>
      <c r="CO14" s="11">
        <f t="shared" si="35"/>
        <v>83536000</v>
      </c>
      <c r="CP14" s="1" t="s">
        <v>802</v>
      </c>
      <c r="CQ14" s="2" t="s">
        <v>803</v>
      </c>
      <c r="CR14" s="11">
        <v>161000000</v>
      </c>
      <c r="CS14" s="4">
        <f t="shared" si="36"/>
        <v>175</v>
      </c>
      <c r="CT14" s="11">
        <f t="shared" si="37"/>
        <v>32200000</v>
      </c>
      <c r="CU14" s="1" t="s">
        <v>804</v>
      </c>
      <c r="CV14" s="2" t="s">
        <v>805</v>
      </c>
      <c r="CW14" s="11">
        <v>108560000</v>
      </c>
      <c r="CX14" s="4">
        <f t="shared" si="38"/>
        <v>118</v>
      </c>
      <c r="CY14" s="11">
        <f t="shared" si="39"/>
        <v>21712000</v>
      </c>
      <c r="CZ14" s="1" t="s">
        <v>806</v>
      </c>
      <c r="DA14" s="2" t="s">
        <v>807</v>
      </c>
      <c r="DB14" s="11">
        <v>357880000</v>
      </c>
      <c r="DC14" s="4">
        <f t="shared" si="40"/>
        <v>389</v>
      </c>
      <c r="DD14" s="11">
        <f t="shared" si="41"/>
        <v>71576000</v>
      </c>
      <c r="DE14" s="1" t="s">
        <v>808</v>
      </c>
      <c r="DF14" s="2" t="s">
        <v>809</v>
      </c>
      <c r="DG14" s="11">
        <v>209760000</v>
      </c>
      <c r="DH14" s="4">
        <f t="shared" si="42"/>
        <v>228</v>
      </c>
      <c r="DI14" s="11">
        <f t="shared" si="43"/>
        <v>41952000</v>
      </c>
      <c r="DJ14" s="1" t="s">
        <v>810</v>
      </c>
      <c r="DK14" s="2" t="s">
        <v>811</v>
      </c>
      <c r="DL14" s="11">
        <v>128800000</v>
      </c>
      <c r="DM14" s="29">
        <f t="shared" si="44"/>
        <v>140</v>
      </c>
      <c r="DN14" s="11">
        <f t="shared" si="45"/>
        <v>25760000</v>
      </c>
      <c r="DO14" s="1" t="s">
        <v>812</v>
      </c>
      <c r="DP14" s="2" t="s">
        <v>813</v>
      </c>
      <c r="DQ14" s="24">
        <v>341320000</v>
      </c>
      <c r="DR14" s="4">
        <f t="shared" si="46"/>
        <v>371</v>
      </c>
      <c r="DS14" s="3">
        <f t="shared" si="47"/>
        <v>68264000</v>
      </c>
      <c r="DT14" s="1" t="s">
        <v>814</v>
      </c>
      <c r="DU14" s="2" t="s">
        <v>815</v>
      </c>
      <c r="DV14" s="11">
        <v>573160000</v>
      </c>
      <c r="DW14" s="4">
        <f t="shared" si="48"/>
        <v>623</v>
      </c>
      <c r="DX14" s="11">
        <f t="shared" si="49"/>
        <v>114632000</v>
      </c>
      <c r="DY14" s="1" t="s">
        <v>816</v>
      </c>
      <c r="DZ14" s="2" t="s">
        <v>817</v>
      </c>
      <c r="EA14" s="24">
        <v>82800000</v>
      </c>
      <c r="EB14" s="4">
        <f t="shared" si="50"/>
        <v>90</v>
      </c>
      <c r="EC14" s="11">
        <f t="shared" si="51"/>
        <v>16560000</v>
      </c>
      <c r="ED14" s="1" t="s">
        <v>818</v>
      </c>
      <c r="EE14" s="2" t="s">
        <v>819</v>
      </c>
      <c r="EF14" s="11">
        <v>447120000</v>
      </c>
      <c r="EG14" s="4">
        <f t="shared" si="52"/>
        <v>486</v>
      </c>
      <c r="EH14" s="11">
        <f t="shared" si="53"/>
        <v>89424000</v>
      </c>
      <c r="EI14" s="1" t="s">
        <v>820</v>
      </c>
      <c r="EJ14" s="2" t="s">
        <v>821</v>
      </c>
      <c r="EK14" s="24">
        <v>285200000</v>
      </c>
      <c r="EL14" s="4">
        <f t="shared" si="54"/>
        <v>310</v>
      </c>
      <c r="EM14" s="11">
        <f t="shared" si="55"/>
        <v>57040000</v>
      </c>
      <c r="EN14" s="1" t="s">
        <v>822</v>
      </c>
      <c r="EO14" s="2" t="s">
        <v>823</v>
      </c>
      <c r="EP14" s="11">
        <v>287040000</v>
      </c>
      <c r="EQ14" s="4">
        <f t="shared" si="56"/>
        <v>312</v>
      </c>
      <c r="ER14" s="11">
        <f t="shared" si="57"/>
        <v>57408000</v>
      </c>
      <c r="ES14" s="1" t="s">
        <v>824</v>
      </c>
      <c r="ET14" s="2" t="s">
        <v>825</v>
      </c>
      <c r="EU14" s="24">
        <v>152720000</v>
      </c>
      <c r="EV14" s="4">
        <f t="shared" si="58"/>
        <v>166</v>
      </c>
      <c r="EW14" s="11">
        <f t="shared" si="59"/>
        <v>30544000</v>
      </c>
      <c r="EX14" s="1" t="s">
        <v>826</v>
      </c>
      <c r="EY14" s="2" t="s">
        <v>827</v>
      </c>
      <c r="EZ14" s="24">
        <v>247480000</v>
      </c>
      <c r="FA14" s="4">
        <f t="shared" si="60"/>
        <v>269</v>
      </c>
      <c r="FB14" s="11">
        <f t="shared" si="61"/>
        <v>49496000</v>
      </c>
      <c r="FC14" s="1" t="s">
        <v>828</v>
      </c>
      <c r="FD14" s="2" t="s">
        <v>829</v>
      </c>
      <c r="FE14" s="24">
        <v>122360000</v>
      </c>
      <c r="FF14" s="4">
        <f t="shared" si="62"/>
        <v>133</v>
      </c>
      <c r="FG14" s="11">
        <f t="shared" si="63"/>
        <v>24472000</v>
      </c>
      <c r="FH14" s="1" t="s">
        <v>830</v>
      </c>
      <c r="FI14" s="2" t="s">
        <v>831</v>
      </c>
      <c r="FJ14" s="24">
        <v>462760000</v>
      </c>
      <c r="FK14" s="4">
        <f t="shared" si="64"/>
        <v>503</v>
      </c>
      <c r="FL14" s="11">
        <f t="shared" si="65"/>
        <v>92552000</v>
      </c>
      <c r="FM14" s="1" t="s">
        <v>832</v>
      </c>
      <c r="FN14" s="2" t="s">
        <v>833</v>
      </c>
      <c r="FO14" s="11">
        <v>119600000</v>
      </c>
      <c r="FP14" s="4">
        <f t="shared" si="66"/>
        <v>130</v>
      </c>
      <c r="FQ14" s="11">
        <f t="shared" si="67"/>
        <v>23920000</v>
      </c>
      <c r="FR14" s="1" t="s">
        <v>834</v>
      </c>
      <c r="FS14" s="2" t="s">
        <v>835</v>
      </c>
      <c r="FT14" s="24">
        <v>253920000</v>
      </c>
      <c r="FU14" s="4">
        <f t="shared" si="68"/>
        <v>276</v>
      </c>
      <c r="FV14" s="11">
        <f t="shared" si="69"/>
        <v>50784000</v>
      </c>
      <c r="FW14" s="1" t="s">
        <v>836</v>
      </c>
      <c r="FX14" s="2" t="s">
        <v>837</v>
      </c>
      <c r="FY14" s="24">
        <v>276920000</v>
      </c>
      <c r="FZ14" s="4">
        <f t="shared" si="70"/>
        <v>301</v>
      </c>
      <c r="GA14" s="11">
        <f t="shared" si="71"/>
        <v>55384000</v>
      </c>
      <c r="GB14" s="1" t="s">
        <v>838</v>
      </c>
      <c r="GC14" s="2" t="s">
        <v>839</v>
      </c>
      <c r="GD14" s="24">
        <v>188600000</v>
      </c>
      <c r="GE14" s="4">
        <f t="shared" si="72"/>
        <v>205</v>
      </c>
      <c r="GF14" s="11">
        <f t="shared" si="73"/>
        <v>37720000</v>
      </c>
      <c r="GG14" s="1" t="s">
        <v>840</v>
      </c>
      <c r="GH14" s="2" t="s">
        <v>841</v>
      </c>
      <c r="GI14" s="24">
        <v>341320000</v>
      </c>
      <c r="GJ14" s="4">
        <f t="shared" si="74"/>
        <v>371</v>
      </c>
      <c r="GK14" s="11">
        <f t="shared" si="75"/>
        <v>68264000</v>
      </c>
      <c r="GL14" s="1" t="s">
        <v>842</v>
      </c>
      <c r="GM14" s="2" t="s">
        <v>843</v>
      </c>
      <c r="GN14" s="24">
        <v>311880000</v>
      </c>
      <c r="GO14" s="4">
        <f t="shared" si="76"/>
        <v>339</v>
      </c>
      <c r="GP14" s="11">
        <f t="shared" si="77"/>
        <v>62376000</v>
      </c>
      <c r="GQ14" s="1" t="s">
        <v>844</v>
      </c>
      <c r="GR14" s="2" t="s">
        <v>845</v>
      </c>
      <c r="GS14" s="24">
        <v>347760000</v>
      </c>
      <c r="GT14" s="4">
        <f t="shared" si="78"/>
        <v>378</v>
      </c>
      <c r="GU14" s="18">
        <f t="shared" si="79"/>
        <v>69552000</v>
      </c>
    </row>
    <row r="15" spans="3:203" x14ac:dyDescent="0.25">
      <c r="C15" s="4">
        <v>11</v>
      </c>
      <c r="D15" s="1" t="s">
        <v>846</v>
      </c>
      <c r="E15" s="2" t="s">
        <v>847</v>
      </c>
      <c r="F15" s="3">
        <v>186760000</v>
      </c>
      <c r="G15" s="4">
        <f t="shared" si="0"/>
        <v>203</v>
      </c>
      <c r="H15" s="3">
        <f t="shared" si="1"/>
        <v>37352000</v>
      </c>
      <c r="I15" s="1" t="s">
        <v>848</v>
      </c>
      <c r="J15" s="2" t="s">
        <v>849</v>
      </c>
      <c r="K15" s="11">
        <v>299920000</v>
      </c>
      <c r="L15" s="4">
        <f t="shared" si="2"/>
        <v>326</v>
      </c>
      <c r="M15" s="11">
        <f t="shared" si="3"/>
        <v>59984000</v>
      </c>
      <c r="N15" s="1" t="s">
        <v>850</v>
      </c>
      <c r="O15" s="2" t="s">
        <v>851</v>
      </c>
      <c r="P15" s="13">
        <v>154560000</v>
      </c>
      <c r="Q15" s="4">
        <f t="shared" si="4"/>
        <v>168</v>
      </c>
      <c r="R15" s="11">
        <f t="shared" si="5"/>
        <v>30912000</v>
      </c>
      <c r="S15" s="1" t="s">
        <v>852</v>
      </c>
      <c r="T15" s="2" t="s">
        <v>853</v>
      </c>
      <c r="U15" s="14">
        <v>237360000</v>
      </c>
      <c r="V15" s="4">
        <f t="shared" si="6"/>
        <v>258</v>
      </c>
      <c r="W15" s="11">
        <f t="shared" si="7"/>
        <v>47472000</v>
      </c>
      <c r="X15" s="1" t="s">
        <v>854</v>
      </c>
      <c r="Y15" s="2" t="s">
        <v>855</v>
      </c>
      <c r="Z15" s="3">
        <v>218960000</v>
      </c>
      <c r="AA15" s="4">
        <f t="shared" si="8"/>
        <v>238</v>
      </c>
      <c r="AB15" s="15">
        <f t="shared" si="9"/>
        <v>43792000</v>
      </c>
      <c r="AC15" s="1" t="s">
        <v>856</v>
      </c>
      <c r="AD15" s="2" t="s">
        <v>857</v>
      </c>
      <c r="AE15" s="11">
        <v>136160000</v>
      </c>
      <c r="AF15" s="4">
        <f t="shared" si="10"/>
        <v>148</v>
      </c>
      <c r="AG15" s="11">
        <f t="shared" si="11"/>
        <v>27232000</v>
      </c>
      <c r="AH15" s="1" t="s">
        <v>858</v>
      </c>
      <c r="AI15" s="2" t="s">
        <v>859</v>
      </c>
      <c r="AJ15" s="10">
        <v>242880000</v>
      </c>
      <c r="AK15" s="4">
        <f t="shared" si="12"/>
        <v>264</v>
      </c>
      <c r="AL15" s="3">
        <f t="shared" si="13"/>
        <v>48576000</v>
      </c>
      <c r="AM15" s="1" t="s">
        <v>860</v>
      </c>
      <c r="AN15" s="2" t="s">
        <v>861</v>
      </c>
      <c r="AO15" s="11">
        <v>183080000</v>
      </c>
      <c r="AP15" s="4">
        <f t="shared" si="14"/>
        <v>199</v>
      </c>
      <c r="AQ15" s="11">
        <f t="shared" si="15"/>
        <v>36616000</v>
      </c>
      <c r="AR15" s="1" t="s">
        <v>862</v>
      </c>
      <c r="AS15" s="2" t="s">
        <v>863</v>
      </c>
      <c r="AT15" s="11">
        <v>263120000</v>
      </c>
      <c r="AU15" s="4">
        <f t="shared" si="16"/>
        <v>286</v>
      </c>
      <c r="AV15" s="11">
        <f t="shared" si="17"/>
        <v>52624000</v>
      </c>
      <c r="AW15" s="1" t="s">
        <v>864</v>
      </c>
      <c r="AX15" s="2" t="s">
        <v>865</v>
      </c>
      <c r="AY15" s="11">
        <v>103960000</v>
      </c>
      <c r="AZ15" s="4">
        <f t="shared" si="18"/>
        <v>113</v>
      </c>
      <c r="BA15" s="11">
        <f t="shared" si="19"/>
        <v>20792000</v>
      </c>
      <c r="BB15" s="1" t="s">
        <v>866</v>
      </c>
      <c r="BC15" s="2" t="s">
        <v>867</v>
      </c>
      <c r="BD15" s="11">
        <v>362480000</v>
      </c>
      <c r="BE15" s="4">
        <f t="shared" si="20"/>
        <v>394</v>
      </c>
      <c r="BF15" s="19">
        <f t="shared" si="21"/>
        <v>72496000</v>
      </c>
      <c r="BG15" s="1" t="s">
        <v>868</v>
      </c>
      <c r="BH15" s="2" t="s">
        <v>869</v>
      </c>
      <c r="BI15" s="11">
        <v>567640000</v>
      </c>
      <c r="BJ15" s="4">
        <f t="shared" si="22"/>
        <v>617</v>
      </c>
      <c r="BK15" s="11">
        <f t="shared" si="23"/>
        <v>113528000</v>
      </c>
      <c r="BL15" s="1" t="s">
        <v>870</v>
      </c>
      <c r="BM15" s="2" t="s">
        <v>871</v>
      </c>
      <c r="BN15" s="11">
        <v>148120000</v>
      </c>
      <c r="BO15" s="4">
        <f t="shared" si="24"/>
        <v>161</v>
      </c>
      <c r="BP15" s="11">
        <f t="shared" si="25"/>
        <v>29624000</v>
      </c>
      <c r="BQ15" s="1" t="s">
        <v>872</v>
      </c>
      <c r="BR15" s="2" t="s">
        <v>873</v>
      </c>
      <c r="BS15" s="11">
        <v>166520000</v>
      </c>
      <c r="BT15" s="4">
        <f t="shared" si="26"/>
        <v>181</v>
      </c>
      <c r="BU15" s="11">
        <f t="shared" si="27"/>
        <v>33304000</v>
      </c>
      <c r="BV15" s="1" t="s">
        <v>874</v>
      </c>
      <c r="BW15" s="2" t="s">
        <v>875</v>
      </c>
      <c r="BX15" s="11">
        <v>337640000</v>
      </c>
      <c r="BY15" s="4">
        <f t="shared" si="28"/>
        <v>367</v>
      </c>
      <c r="BZ15" s="11">
        <f t="shared" si="29"/>
        <v>67528000</v>
      </c>
      <c r="CA15" s="1" t="s">
        <v>876</v>
      </c>
      <c r="CB15" s="2" t="s">
        <v>877</v>
      </c>
      <c r="CC15" s="11">
        <v>230920000</v>
      </c>
      <c r="CD15" s="4">
        <f t="shared" si="30"/>
        <v>251</v>
      </c>
      <c r="CE15" s="11">
        <f t="shared" si="31"/>
        <v>46184000</v>
      </c>
      <c r="CF15" s="1" t="s">
        <v>878</v>
      </c>
      <c r="CG15" s="2" t="s">
        <v>879</v>
      </c>
      <c r="CH15" s="3">
        <v>196880000</v>
      </c>
      <c r="CI15" s="4">
        <f t="shared" si="32"/>
        <v>214</v>
      </c>
      <c r="CJ15" s="11">
        <f t="shared" si="33"/>
        <v>39376000</v>
      </c>
      <c r="CK15" s="1" t="s">
        <v>880</v>
      </c>
      <c r="CL15" s="2" t="s">
        <v>881</v>
      </c>
      <c r="CM15" s="11">
        <v>229080000</v>
      </c>
      <c r="CN15" s="4">
        <f t="shared" si="34"/>
        <v>249</v>
      </c>
      <c r="CO15" s="11">
        <f t="shared" si="35"/>
        <v>45816000</v>
      </c>
      <c r="CP15" s="1" t="s">
        <v>882</v>
      </c>
      <c r="CQ15" s="2" t="s">
        <v>883</v>
      </c>
      <c r="CR15" s="11">
        <v>432400000</v>
      </c>
      <c r="CS15" s="4">
        <f t="shared" si="36"/>
        <v>470</v>
      </c>
      <c r="CT15" s="11">
        <f t="shared" si="37"/>
        <v>86480000</v>
      </c>
      <c r="CU15" s="1" t="s">
        <v>884</v>
      </c>
      <c r="CV15" s="2" t="s">
        <v>885</v>
      </c>
      <c r="CW15" s="11">
        <v>139840000</v>
      </c>
      <c r="CX15" s="4">
        <f t="shared" si="38"/>
        <v>152</v>
      </c>
      <c r="CY15" s="11">
        <f t="shared" si="39"/>
        <v>27968000</v>
      </c>
      <c r="CZ15" s="1" t="s">
        <v>886</v>
      </c>
      <c r="DA15" s="2" t="s">
        <v>887</v>
      </c>
      <c r="DB15" s="11">
        <v>207920000</v>
      </c>
      <c r="DC15" s="4">
        <f t="shared" si="40"/>
        <v>226</v>
      </c>
      <c r="DD15" s="11">
        <f t="shared" si="41"/>
        <v>41584000</v>
      </c>
      <c r="DE15" s="1" t="s">
        <v>888</v>
      </c>
      <c r="DF15" s="2" t="s">
        <v>889</v>
      </c>
      <c r="DG15" s="11">
        <v>328440000</v>
      </c>
      <c r="DH15" s="4">
        <f t="shared" si="42"/>
        <v>357</v>
      </c>
      <c r="DI15" s="11">
        <f t="shared" si="43"/>
        <v>65688000</v>
      </c>
      <c r="DJ15" s="1" t="s">
        <v>890</v>
      </c>
      <c r="DK15" s="2" t="s">
        <v>891</v>
      </c>
      <c r="DL15" s="11">
        <v>223560000</v>
      </c>
      <c r="DM15" s="29">
        <f t="shared" si="44"/>
        <v>243</v>
      </c>
      <c r="DN15" s="11">
        <f t="shared" si="45"/>
        <v>44712000</v>
      </c>
      <c r="DO15" s="1" t="s">
        <v>892</v>
      </c>
      <c r="DP15" s="2" t="s">
        <v>893</v>
      </c>
      <c r="DQ15" s="24">
        <v>185840000</v>
      </c>
      <c r="DR15" s="4">
        <f t="shared" si="46"/>
        <v>202</v>
      </c>
      <c r="DS15" s="3">
        <f t="shared" si="47"/>
        <v>37168000</v>
      </c>
      <c r="DT15" s="1" t="s">
        <v>894</v>
      </c>
      <c r="DU15" s="2" t="s">
        <v>895</v>
      </c>
      <c r="DV15" s="11">
        <v>281520000</v>
      </c>
      <c r="DW15" s="4">
        <f t="shared" si="48"/>
        <v>306</v>
      </c>
      <c r="DX15" s="11">
        <f t="shared" si="49"/>
        <v>56304000</v>
      </c>
      <c r="DY15" s="1" t="s">
        <v>896</v>
      </c>
      <c r="DZ15" s="2" t="s">
        <v>897</v>
      </c>
      <c r="EA15" s="24">
        <v>214360000</v>
      </c>
      <c r="EB15" s="4">
        <f t="shared" si="50"/>
        <v>233</v>
      </c>
      <c r="EC15" s="11">
        <f t="shared" si="51"/>
        <v>42872000</v>
      </c>
      <c r="ED15" s="1" t="s">
        <v>898</v>
      </c>
      <c r="EE15" s="2" t="s">
        <v>899</v>
      </c>
      <c r="EF15" s="11">
        <v>249320000</v>
      </c>
      <c r="EG15" s="4">
        <f t="shared" si="52"/>
        <v>271</v>
      </c>
      <c r="EH15" s="11">
        <f t="shared" si="53"/>
        <v>49864000</v>
      </c>
      <c r="EI15" s="1" t="s">
        <v>900</v>
      </c>
      <c r="EJ15" s="2" t="s">
        <v>901</v>
      </c>
      <c r="EK15" s="24">
        <v>200560000</v>
      </c>
      <c r="EL15" s="4">
        <f t="shared" si="54"/>
        <v>218</v>
      </c>
      <c r="EM15" s="11">
        <f t="shared" si="55"/>
        <v>40112000</v>
      </c>
      <c r="EN15" s="16" t="s">
        <v>902</v>
      </c>
      <c r="EO15" s="2" t="s">
        <v>903</v>
      </c>
      <c r="EP15" s="11">
        <v>143520000</v>
      </c>
      <c r="EQ15" s="4">
        <f t="shared" si="56"/>
        <v>156</v>
      </c>
      <c r="ER15" s="11">
        <f t="shared" si="57"/>
        <v>28704000</v>
      </c>
      <c r="ES15" s="1" t="s">
        <v>904</v>
      </c>
      <c r="ET15" s="2" t="s">
        <v>905</v>
      </c>
      <c r="EU15" s="24">
        <v>386400000</v>
      </c>
      <c r="EV15" s="4">
        <f t="shared" si="58"/>
        <v>420</v>
      </c>
      <c r="EW15" s="11">
        <f t="shared" si="59"/>
        <v>77280000</v>
      </c>
      <c r="EX15" s="1" t="s">
        <v>906</v>
      </c>
      <c r="EY15" s="2" t="s">
        <v>907</v>
      </c>
      <c r="EZ15" s="24">
        <v>165600000</v>
      </c>
      <c r="FA15" s="4">
        <f t="shared" si="60"/>
        <v>180</v>
      </c>
      <c r="FB15" s="11">
        <f t="shared" si="61"/>
        <v>33120000</v>
      </c>
      <c r="FC15" s="1" t="s">
        <v>908</v>
      </c>
      <c r="FD15" s="2" t="s">
        <v>909</v>
      </c>
      <c r="FE15" s="24">
        <v>178480000</v>
      </c>
      <c r="FF15" s="4">
        <f t="shared" si="62"/>
        <v>194</v>
      </c>
      <c r="FG15" s="11">
        <f t="shared" si="63"/>
        <v>35696000</v>
      </c>
      <c r="FH15" s="1" t="s">
        <v>910</v>
      </c>
      <c r="FI15" s="2" t="s">
        <v>911</v>
      </c>
      <c r="FJ15" s="24">
        <v>240120000</v>
      </c>
      <c r="FK15" s="4">
        <f t="shared" si="64"/>
        <v>261</v>
      </c>
      <c r="FL15" s="11">
        <f t="shared" si="65"/>
        <v>48024000</v>
      </c>
      <c r="FM15" s="1" t="s">
        <v>912</v>
      </c>
      <c r="FN15" s="2" t="s">
        <v>913</v>
      </c>
      <c r="FO15" s="11">
        <v>232760000</v>
      </c>
      <c r="FP15" s="4">
        <f t="shared" si="66"/>
        <v>253</v>
      </c>
      <c r="FQ15" s="11">
        <f t="shared" si="67"/>
        <v>46552000</v>
      </c>
      <c r="FR15" s="1" t="s">
        <v>914</v>
      </c>
      <c r="FS15" s="2" t="s">
        <v>915</v>
      </c>
      <c r="FT15" s="24">
        <v>118680000</v>
      </c>
      <c r="FU15" s="4">
        <f t="shared" si="68"/>
        <v>129</v>
      </c>
      <c r="FV15" s="11">
        <f t="shared" si="69"/>
        <v>23736000</v>
      </c>
      <c r="FW15" s="1" t="s">
        <v>916</v>
      </c>
      <c r="FX15" s="2" t="s">
        <v>917</v>
      </c>
      <c r="FY15" s="24">
        <v>222640000</v>
      </c>
      <c r="FZ15" s="4">
        <f t="shared" si="70"/>
        <v>242</v>
      </c>
      <c r="GA15" s="11">
        <f t="shared" si="71"/>
        <v>44528000</v>
      </c>
      <c r="GB15" s="1" t="s">
        <v>918</v>
      </c>
      <c r="GC15" s="2" t="s">
        <v>919</v>
      </c>
      <c r="GD15" s="24">
        <v>224480000</v>
      </c>
      <c r="GE15" s="4">
        <f t="shared" si="72"/>
        <v>244</v>
      </c>
      <c r="GF15" s="11">
        <f t="shared" si="73"/>
        <v>44896000</v>
      </c>
      <c r="GG15" s="1" t="s">
        <v>920</v>
      </c>
      <c r="GH15" s="2" t="s">
        <v>921</v>
      </c>
      <c r="GI15" s="24">
        <v>403880000</v>
      </c>
      <c r="GJ15" s="4">
        <f t="shared" si="74"/>
        <v>439</v>
      </c>
      <c r="GK15" s="11">
        <f t="shared" si="75"/>
        <v>80776000</v>
      </c>
      <c r="GL15" s="1" t="s">
        <v>922</v>
      </c>
      <c r="GM15" s="2" t="s">
        <v>923</v>
      </c>
      <c r="GN15" s="24">
        <v>239200000</v>
      </c>
      <c r="GO15" s="4">
        <f t="shared" si="76"/>
        <v>260</v>
      </c>
      <c r="GP15" s="11">
        <f t="shared" si="77"/>
        <v>47840000</v>
      </c>
      <c r="GQ15" s="1" t="s">
        <v>924</v>
      </c>
      <c r="GR15" s="2" t="s">
        <v>925</v>
      </c>
      <c r="GS15" s="24">
        <v>379960000</v>
      </c>
      <c r="GT15" s="4">
        <f t="shared" si="78"/>
        <v>413</v>
      </c>
      <c r="GU15" s="18">
        <f t="shared" si="79"/>
        <v>75992000</v>
      </c>
    </row>
    <row r="16" spans="3:203" x14ac:dyDescent="0.25">
      <c r="C16" s="4">
        <v>12</v>
      </c>
      <c r="D16" s="1" t="s">
        <v>926</v>
      </c>
      <c r="E16" s="2" t="s">
        <v>927</v>
      </c>
      <c r="F16" s="3">
        <v>276000000</v>
      </c>
      <c r="G16" s="4">
        <f t="shared" si="0"/>
        <v>300</v>
      </c>
      <c r="H16" s="3">
        <f t="shared" si="1"/>
        <v>55200000</v>
      </c>
      <c r="I16" s="1" t="s">
        <v>928</v>
      </c>
      <c r="J16" s="2" t="s">
        <v>929</v>
      </c>
      <c r="K16" s="11">
        <v>172040000</v>
      </c>
      <c r="L16" s="4">
        <f t="shared" si="2"/>
        <v>187</v>
      </c>
      <c r="M16" s="11">
        <f t="shared" si="3"/>
        <v>34408000</v>
      </c>
      <c r="N16" s="1" t="s">
        <v>930</v>
      </c>
      <c r="O16" s="2" t="s">
        <v>931</v>
      </c>
      <c r="P16" s="13">
        <v>102120000</v>
      </c>
      <c r="Q16" s="4">
        <f t="shared" si="4"/>
        <v>111</v>
      </c>
      <c r="R16" s="11">
        <f t="shared" si="5"/>
        <v>20424000</v>
      </c>
      <c r="S16" s="1" t="s">
        <v>932</v>
      </c>
      <c r="T16" s="2" t="s">
        <v>933</v>
      </c>
      <c r="U16" s="14">
        <v>109480000</v>
      </c>
      <c r="V16" s="4">
        <f t="shared" si="6"/>
        <v>119</v>
      </c>
      <c r="W16" s="11">
        <f t="shared" si="7"/>
        <v>21896000</v>
      </c>
      <c r="X16" s="1" t="s">
        <v>934</v>
      </c>
      <c r="Y16" s="2" t="s">
        <v>935</v>
      </c>
      <c r="Z16" s="3">
        <v>120520000</v>
      </c>
      <c r="AA16" s="4">
        <f t="shared" si="8"/>
        <v>131</v>
      </c>
      <c r="AB16" s="15">
        <f t="shared" si="9"/>
        <v>24104000</v>
      </c>
      <c r="AC16" s="1" t="s">
        <v>936</v>
      </c>
      <c r="AD16" s="2" t="s">
        <v>937</v>
      </c>
      <c r="AE16" s="11">
        <v>290720000</v>
      </c>
      <c r="AF16" s="4">
        <f t="shared" si="10"/>
        <v>316</v>
      </c>
      <c r="AG16" s="11">
        <f t="shared" si="11"/>
        <v>58144000</v>
      </c>
      <c r="AH16" s="1" t="s">
        <v>938</v>
      </c>
      <c r="AI16" s="2" t="s">
        <v>939</v>
      </c>
      <c r="AJ16" s="10">
        <v>269560000</v>
      </c>
      <c r="AK16" s="4">
        <f t="shared" si="12"/>
        <v>293</v>
      </c>
      <c r="AL16" s="3">
        <f t="shared" si="13"/>
        <v>53912000</v>
      </c>
      <c r="AM16" s="1" t="s">
        <v>940</v>
      </c>
      <c r="AN16" s="2" t="s">
        <v>941</v>
      </c>
      <c r="AO16" s="11">
        <v>132480000</v>
      </c>
      <c r="AP16" s="4">
        <f t="shared" si="14"/>
        <v>144</v>
      </c>
      <c r="AQ16" s="11">
        <f t="shared" si="15"/>
        <v>26496000</v>
      </c>
      <c r="AR16" s="1" t="s">
        <v>942</v>
      </c>
      <c r="AS16" s="2" t="s">
        <v>943</v>
      </c>
      <c r="AT16" s="11">
        <v>394680000</v>
      </c>
      <c r="AU16" s="4">
        <f t="shared" si="16"/>
        <v>429</v>
      </c>
      <c r="AV16" s="11">
        <f t="shared" si="17"/>
        <v>78936000</v>
      </c>
      <c r="AW16" s="1" t="s">
        <v>944</v>
      </c>
      <c r="AX16" s="2" t="s">
        <v>945</v>
      </c>
      <c r="AY16" s="11">
        <v>206080000</v>
      </c>
      <c r="AZ16" s="4">
        <f t="shared" si="18"/>
        <v>224</v>
      </c>
      <c r="BA16" s="11">
        <f t="shared" si="19"/>
        <v>41216000</v>
      </c>
      <c r="BB16" s="1" t="s">
        <v>946</v>
      </c>
      <c r="BC16" s="2" t="s">
        <v>947</v>
      </c>
      <c r="BD16" s="11">
        <v>339480000</v>
      </c>
      <c r="BE16" s="4">
        <f t="shared" si="20"/>
        <v>369</v>
      </c>
      <c r="BF16" s="19">
        <f t="shared" si="21"/>
        <v>67896000</v>
      </c>
      <c r="BG16" s="1" t="s">
        <v>948</v>
      </c>
      <c r="BH16" s="2" t="s">
        <v>949</v>
      </c>
      <c r="BI16" s="11">
        <v>409400000</v>
      </c>
      <c r="BJ16" s="4">
        <f t="shared" si="22"/>
        <v>445</v>
      </c>
      <c r="BK16" s="11">
        <f t="shared" si="23"/>
        <v>81880000</v>
      </c>
      <c r="BL16" s="1" t="s">
        <v>950</v>
      </c>
      <c r="BM16" s="2" t="s">
        <v>951</v>
      </c>
      <c r="BN16" s="11">
        <v>244720000</v>
      </c>
      <c r="BO16" s="4">
        <f t="shared" si="24"/>
        <v>266</v>
      </c>
      <c r="BP16" s="11">
        <f t="shared" si="25"/>
        <v>48944000</v>
      </c>
      <c r="BQ16" s="1" t="s">
        <v>952</v>
      </c>
      <c r="BR16" s="2" t="s">
        <v>953</v>
      </c>
      <c r="BS16" s="11">
        <v>230920000</v>
      </c>
      <c r="BT16" s="4">
        <f t="shared" si="26"/>
        <v>251</v>
      </c>
      <c r="BU16" s="11">
        <f t="shared" si="27"/>
        <v>46184000</v>
      </c>
      <c r="BV16" s="1" t="s">
        <v>954</v>
      </c>
      <c r="BW16" s="2" t="s">
        <v>955</v>
      </c>
      <c r="BX16" s="11">
        <v>210680000</v>
      </c>
      <c r="BY16" s="4">
        <f t="shared" si="28"/>
        <v>229</v>
      </c>
      <c r="BZ16" s="11">
        <f t="shared" si="29"/>
        <v>42136000</v>
      </c>
      <c r="CA16" s="1" t="s">
        <v>956</v>
      </c>
      <c r="CB16" s="2" t="s">
        <v>957</v>
      </c>
      <c r="CC16" s="11">
        <v>245640000</v>
      </c>
      <c r="CD16" s="4">
        <f t="shared" si="30"/>
        <v>267</v>
      </c>
      <c r="CE16" s="11">
        <f t="shared" si="31"/>
        <v>49128000</v>
      </c>
      <c r="CF16" s="1" t="s">
        <v>958</v>
      </c>
      <c r="CG16" s="2" t="s">
        <v>959</v>
      </c>
      <c r="CH16" s="3">
        <v>58880000</v>
      </c>
      <c r="CI16" s="4">
        <f t="shared" si="32"/>
        <v>64</v>
      </c>
      <c r="CJ16" s="11">
        <f t="shared" si="33"/>
        <v>11776000</v>
      </c>
      <c r="CK16" s="88" t="s">
        <v>960</v>
      </c>
      <c r="CL16" s="89"/>
      <c r="CM16" s="31">
        <f>SUM(CM5:CM15)</f>
        <v>2128880000</v>
      </c>
      <c r="CN16" s="32">
        <f>SUM(CN5:CN15)</f>
        <v>2314</v>
      </c>
      <c r="CO16" s="31">
        <f>SUM(CO5:CO15)</f>
        <v>425776000</v>
      </c>
      <c r="CP16" s="1" t="s">
        <v>961</v>
      </c>
      <c r="CQ16" s="2" t="s">
        <v>962</v>
      </c>
      <c r="CR16" s="11">
        <v>562120000</v>
      </c>
      <c r="CS16" s="4">
        <f t="shared" si="36"/>
        <v>611</v>
      </c>
      <c r="CT16" s="11">
        <f t="shared" si="37"/>
        <v>112424000</v>
      </c>
      <c r="CU16" s="1" t="s">
        <v>963</v>
      </c>
      <c r="CV16" s="2" t="s">
        <v>964</v>
      </c>
      <c r="CW16" s="11">
        <v>160080000</v>
      </c>
      <c r="CX16" s="4">
        <f t="shared" si="38"/>
        <v>174</v>
      </c>
      <c r="CY16" s="11">
        <f t="shared" si="39"/>
        <v>32016000</v>
      </c>
      <c r="CZ16" s="1" t="s">
        <v>965</v>
      </c>
      <c r="DA16" s="2" t="s">
        <v>966</v>
      </c>
      <c r="DB16" s="11">
        <v>272320000</v>
      </c>
      <c r="DC16" s="4">
        <f t="shared" si="40"/>
        <v>296</v>
      </c>
      <c r="DD16" s="11">
        <f t="shared" si="41"/>
        <v>54464000</v>
      </c>
      <c r="DE16" s="1" t="s">
        <v>967</v>
      </c>
      <c r="DF16" s="2" t="s">
        <v>968</v>
      </c>
      <c r="DG16" s="11">
        <v>334880000</v>
      </c>
      <c r="DH16" s="4">
        <f t="shared" si="42"/>
        <v>364</v>
      </c>
      <c r="DI16" s="11">
        <f t="shared" si="43"/>
        <v>66976000</v>
      </c>
      <c r="DJ16" s="1" t="s">
        <v>969</v>
      </c>
      <c r="DK16" s="2" t="s">
        <v>970</v>
      </c>
      <c r="DL16" s="11">
        <v>178480000</v>
      </c>
      <c r="DM16" s="29">
        <f t="shared" si="44"/>
        <v>194</v>
      </c>
      <c r="DN16" s="11">
        <f t="shared" si="45"/>
        <v>35696000</v>
      </c>
      <c r="DO16" s="1" t="s">
        <v>971</v>
      </c>
      <c r="DP16" s="2" t="s">
        <v>972</v>
      </c>
      <c r="DQ16" s="24">
        <v>223560000</v>
      </c>
      <c r="DR16" s="4">
        <f t="shared" si="46"/>
        <v>243</v>
      </c>
      <c r="DS16" s="3">
        <f t="shared" si="47"/>
        <v>44712000</v>
      </c>
      <c r="DT16" s="1" t="s">
        <v>973</v>
      </c>
      <c r="DU16" s="2" t="s">
        <v>974</v>
      </c>
      <c r="DV16" s="11">
        <v>317400000</v>
      </c>
      <c r="DW16" s="4">
        <f t="shared" si="48"/>
        <v>345</v>
      </c>
      <c r="DX16" s="11">
        <f t="shared" si="49"/>
        <v>63480000</v>
      </c>
      <c r="DY16" s="1" t="s">
        <v>975</v>
      </c>
      <c r="DZ16" s="2" t="s">
        <v>976</v>
      </c>
      <c r="EA16" s="24">
        <v>442520000</v>
      </c>
      <c r="EB16" s="4">
        <f t="shared" si="50"/>
        <v>481</v>
      </c>
      <c r="EC16" s="11">
        <f t="shared" si="51"/>
        <v>88504000</v>
      </c>
      <c r="ED16" s="1" t="s">
        <v>977</v>
      </c>
      <c r="EE16" s="2" t="s">
        <v>978</v>
      </c>
      <c r="EF16" s="11">
        <v>176640000</v>
      </c>
      <c r="EG16" s="4">
        <f t="shared" si="52"/>
        <v>192</v>
      </c>
      <c r="EH16" s="11">
        <f t="shared" si="53"/>
        <v>35328000</v>
      </c>
      <c r="EI16" s="1" t="s">
        <v>979</v>
      </c>
      <c r="EJ16" s="2" t="s">
        <v>980</v>
      </c>
      <c r="EK16" s="24">
        <v>150880000</v>
      </c>
      <c r="EL16" s="4">
        <f t="shared" si="54"/>
        <v>164</v>
      </c>
      <c r="EM16" s="11">
        <f t="shared" si="55"/>
        <v>30176000</v>
      </c>
      <c r="EN16" s="88" t="s">
        <v>960</v>
      </c>
      <c r="EO16" s="89"/>
      <c r="EP16" s="31">
        <f>SUM(EP5:EP15)</f>
        <v>1964200000</v>
      </c>
      <c r="EQ16" s="32">
        <f>SUM(EQ5:EQ15)</f>
        <v>2135</v>
      </c>
      <c r="ER16" s="31">
        <f>SUM(ER5:ER15)</f>
        <v>392840000</v>
      </c>
      <c r="ES16" s="1" t="s">
        <v>981</v>
      </c>
      <c r="ET16" s="2" t="s">
        <v>982</v>
      </c>
      <c r="EU16" s="24">
        <v>247480000</v>
      </c>
      <c r="EV16" s="4">
        <f t="shared" si="58"/>
        <v>269</v>
      </c>
      <c r="EW16" s="11">
        <f t="shared" si="59"/>
        <v>49496000</v>
      </c>
      <c r="EX16" s="1" t="s">
        <v>983</v>
      </c>
      <c r="EY16" s="2" t="s">
        <v>984</v>
      </c>
      <c r="EZ16" s="24">
        <v>102120000</v>
      </c>
      <c r="FA16" s="4">
        <f t="shared" si="60"/>
        <v>111</v>
      </c>
      <c r="FB16" s="11">
        <f t="shared" si="61"/>
        <v>20424000</v>
      </c>
      <c r="FC16" s="1" t="s">
        <v>985</v>
      </c>
      <c r="FD16" s="2" t="s">
        <v>986</v>
      </c>
      <c r="FE16" s="24">
        <v>149960000</v>
      </c>
      <c r="FF16" s="4">
        <f t="shared" si="62"/>
        <v>163</v>
      </c>
      <c r="FG16" s="11">
        <f t="shared" si="63"/>
        <v>29992000</v>
      </c>
      <c r="FH16" s="1" t="s">
        <v>987</v>
      </c>
      <c r="FI16" s="2" t="s">
        <v>988</v>
      </c>
      <c r="FJ16" s="24">
        <v>327520000</v>
      </c>
      <c r="FK16" s="4">
        <f t="shared" si="64"/>
        <v>356</v>
      </c>
      <c r="FL16" s="11">
        <f t="shared" si="65"/>
        <v>65504000</v>
      </c>
      <c r="FM16" s="1" t="s">
        <v>989</v>
      </c>
      <c r="FN16" s="2" t="s">
        <v>990</v>
      </c>
      <c r="FO16" s="11">
        <v>208840000</v>
      </c>
      <c r="FP16" s="4">
        <f t="shared" si="66"/>
        <v>227</v>
      </c>
      <c r="FQ16" s="11">
        <f t="shared" si="67"/>
        <v>41768000</v>
      </c>
      <c r="FR16" s="1" t="s">
        <v>991</v>
      </c>
      <c r="FS16" s="2" t="s">
        <v>992</v>
      </c>
      <c r="FT16" s="24">
        <v>185840000</v>
      </c>
      <c r="FU16" s="4">
        <f t="shared" si="68"/>
        <v>202</v>
      </c>
      <c r="FV16" s="11">
        <f t="shared" si="69"/>
        <v>37168000</v>
      </c>
      <c r="FW16" s="1" t="s">
        <v>993</v>
      </c>
      <c r="FX16" s="2" t="s">
        <v>994</v>
      </c>
      <c r="FY16" s="24">
        <v>181240000</v>
      </c>
      <c r="FZ16" s="4">
        <f t="shared" si="70"/>
        <v>197</v>
      </c>
      <c r="GA16" s="11">
        <f t="shared" si="71"/>
        <v>36248000</v>
      </c>
      <c r="GB16" s="1" t="s">
        <v>995</v>
      </c>
      <c r="GC16" s="2" t="s">
        <v>996</v>
      </c>
      <c r="GD16" s="24">
        <v>216200000</v>
      </c>
      <c r="GE16" s="4">
        <f t="shared" si="72"/>
        <v>235</v>
      </c>
      <c r="GF16" s="11">
        <f t="shared" si="73"/>
        <v>43240000</v>
      </c>
      <c r="GG16" s="1" t="s">
        <v>997</v>
      </c>
      <c r="GH16" s="2" t="s">
        <v>998</v>
      </c>
      <c r="GI16" s="24">
        <v>137080000</v>
      </c>
      <c r="GJ16" s="4">
        <f t="shared" si="74"/>
        <v>149</v>
      </c>
      <c r="GK16" s="11">
        <f t="shared" si="75"/>
        <v>27416000</v>
      </c>
      <c r="GL16" s="1" t="s">
        <v>999</v>
      </c>
      <c r="GM16" s="2" t="s">
        <v>1000</v>
      </c>
      <c r="GN16" s="24">
        <v>636640000</v>
      </c>
      <c r="GO16" s="4">
        <f t="shared" si="76"/>
        <v>692</v>
      </c>
      <c r="GP16" s="11">
        <f t="shared" si="77"/>
        <v>127328000</v>
      </c>
      <c r="GQ16" s="1" t="s">
        <v>1001</v>
      </c>
      <c r="GR16" s="2" t="s">
        <v>1002</v>
      </c>
      <c r="GS16" s="24">
        <v>138920000</v>
      </c>
      <c r="GT16" s="4">
        <f t="shared" si="78"/>
        <v>151</v>
      </c>
      <c r="GU16" s="18">
        <f t="shared" si="79"/>
        <v>27784000</v>
      </c>
    </row>
    <row r="17" spans="3:203" x14ac:dyDescent="0.25">
      <c r="C17" s="4">
        <v>13</v>
      </c>
      <c r="D17" s="1" t="s">
        <v>1003</v>
      </c>
      <c r="E17" s="2" t="s">
        <v>1004</v>
      </c>
      <c r="F17" s="3">
        <v>90160000</v>
      </c>
      <c r="G17" s="4">
        <f t="shared" si="0"/>
        <v>98</v>
      </c>
      <c r="H17" s="3">
        <f t="shared" si="1"/>
        <v>18032000</v>
      </c>
      <c r="I17" s="1" t="s">
        <v>1005</v>
      </c>
      <c r="J17" s="2" t="s">
        <v>1006</v>
      </c>
      <c r="K17" s="11">
        <v>248400000</v>
      </c>
      <c r="L17" s="4">
        <f t="shared" si="2"/>
        <v>270</v>
      </c>
      <c r="M17" s="11">
        <f t="shared" si="3"/>
        <v>49680000</v>
      </c>
      <c r="N17" s="1" t="s">
        <v>1007</v>
      </c>
      <c r="O17" s="2" t="s">
        <v>1008</v>
      </c>
      <c r="P17" s="13">
        <v>334880000</v>
      </c>
      <c r="Q17" s="4">
        <f t="shared" si="4"/>
        <v>364</v>
      </c>
      <c r="R17" s="11">
        <f t="shared" si="5"/>
        <v>66976000</v>
      </c>
      <c r="S17" s="1" t="s">
        <v>1009</v>
      </c>
      <c r="T17" s="2" t="s">
        <v>1010</v>
      </c>
      <c r="U17" s="14">
        <v>152720000</v>
      </c>
      <c r="V17" s="4">
        <f t="shared" si="6"/>
        <v>166</v>
      </c>
      <c r="W17" s="11">
        <f t="shared" si="7"/>
        <v>30544000</v>
      </c>
      <c r="X17" s="1" t="s">
        <v>1011</v>
      </c>
      <c r="Y17" s="2" t="s">
        <v>1012</v>
      </c>
      <c r="Z17" s="3">
        <v>467360000</v>
      </c>
      <c r="AA17" s="4">
        <f t="shared" si="8"/>
        <v>508</v>
      </c>
      <c r="AB17" s="15">
        <f t="shared" si="9"/>
        <v>93472000</v>
      </c>
      <c r="AC17" s="1" t="s">
        <v>1013</v>
      </c>
      <c r="AD17" s="2" t="s">
        <v>1014</v>
      </c>
      <c r="AE17" s="11">
        <v>139840000</v>
      </c>
      <c r="AF17" s="4">
        <f t="shared" si="10"/>
        <v>152</v>
      </c>
      <c r="AG17" s="11">
        <f t="shared" si="11"/>
        <v>27968000</v>
      </c>
      <c r="AH17" s="1" t="s">
        <v>1015</v>
      </c>
      <c r="AI17" s="2" t="s">
        <v>1016</v>
      </c>
      <c r="AJ17" s="10">
        <v>157320000</v>
      </c>
      <c r="AK17" s="4">
        <f t="shared" si="12"/>
        <v>171</v>
      </c>
      <c r="AL17" s="3">
        <f t="shared" si="13"/>
        <v>31464000</v>
      </c>
      <c r="AM17" s="1" t="s">
        <v>1017</v>
      </c>
      <c r="AN17" s="2" t="s">
        <v>1018</v>
      </c>
      <c r="AO17" s="11">
        <v>70840000</v>
      </c>
      <c r="AP17" s="4">
        <f t="shared" si="14"/>
        <v>77</v>
      </c>
      <c r="AQ17" s="11">
        <f t="shared" si="15"/>
        <v>14168000</v>
      </c>
      <c r="AR17" s="1" t="s">
        <v>1019</v>
      </c>
      <c r="AS17" s="2" t="s">
        <v>1020</v>
      </c>
      <c r="AT17" s="11">
        <v>314640000</v>
      </c>
      <c r="AU17" s="4">
        <f t="shared" si="16"/>
        <v>342</v>
      </c>
      <c r="AV17" s="11">
        <f t="shared" si="17"/>
        <v>62928000</v>
      </c>
      <c r="AW17" s="1" t="s">
        <v>1021</v>
      </c>
      <c r="AX17" s="2" t="s">
        <v>1022</v>
      </c>
      <c r="AY17" s="11">
        <v>436080000</v>
      </c>
      <c r="AZ17" s="4">
        <f t="shared" si="18"/>
        <v>474</v>
      </c>
      <c r="BA17" s="11">
        <f t="shared" si="19"/>
        <v>87216000</v>
      </c>
      <c r="BB17" s="1" t="s">
        <v>1023</v>
      </c>
      <c r="BC17" s="2" t="s">
        <v>1024</v>
      </c>
      <c r="BD17" s="11">
        <v>405720000</v>
      </c>
      <c r="BE17" s="4">
        <f t="shared" si="20"/>
        <v>441</v>
      </c>
      <c r="BF17" s="19">
        <f t="shared" si="21"/>
        <v>81144000</v>
      </c>
      <c r="BG17" s="1" t="s">
        <v>1025</v>
      </c>
      <c r="BH17" s="2" t="s">
        <v>1026</v>
      </c>
      <c r="BI17" s="11">
        <v>210680000</v>
      </c>
      <c r="BJ17" s="4">
        <f t="shared" si="22"/>
        <v>229</v>
      </c>
      <c r="BK17" s="11">
        <f t="shared" si="23"/>
        <v>42136000</v>
      </c>
      <c r="BL17" s="1" t="s">
        <v>1027</v>
      </c>
      <c r="BM17" s="2" t="s">
        <v>1028</v>
      </c>
      <c r="BN17" s="11">
        <v>241960000</v>
      </c>
      <c r="BO17" s="4">
        <f t="shared" si="24"/>
        <v>263</v>
      </c>
      <c r="BP17" s="11">
        <f t="shared" si="25"/>
        <v>48392000</v>
      </c>
      <c r="BQ17" s="1" t="s">
        <v>1029</v>
      </c>
      <c r="BR17" s="2" t="s">
        <v>1030</v>
      </c>
      <c r="BS17" s="11">
        <v>107640000</v>
      </c>
      <c r="BT17" s="4">
        <f t="shared" si="26"/>
        <v>117</v>
      </c>
      <c r="BU17" s="11">
        <f t="shared" si="27"/>
        <v>21528000</v>
      </c>
      <c r="BV17" s="1" t="s">
        <v>1031</v>
      </c>
      <c r="BW17" s="2" t="s">
        <v>1032</v>
      </c>
      <c r="BX17" s="11">
        <v>282440000</v>
      </c>
      <c r="BY17" s="4">
        <f t="shared" si="28"/>
        <v>307</v>
      </c>
      <c r="BZ17" s="11">
        <f t="shared" si="29"/>
        <v>56488000</v>
      </c>
      <c r="CA17" s="1" t="s">
        <v>1033</v>
      </c>
      <c r="CB17" s="2" t="s">
        <v>1034</v>
      </c>
      <c r="CC17" s="11">
        <v>347760000</v>
      </c>
      <c r="CD17" s="4">
        <f t="shared" si="30"/>
        <v>378</v>
      </c>
      <c r="CE17" s="11">
        <f t="shared" si="31"/>
        <v>69552000</v>
      </c>
      <c r="CF17" s="1" t="s">
        <v>1035</v>
      </c>
      <c r="CG17" s="2" t="s">
        <v>1036</v>
      </c>
      <c r="CH17" s="3">
        <v>230000000</v>
      </c>
      <c r="CI17" s="4">
        <f t="shared" si="32"/>
        <v>250</v>
      </c>
      <c r="CJ17" s="11">
        <f t="shared" si="33"/>
        <v>46000000</v>
      </c>
      <c r="CK17" s="9"/>
      <c r="CL17" s="6"/>
      <c r="CM17" s="7"/>
      <c r="CN17" s="8"/>
      <c r="CO17" s="7"/>
      <c r="CP17" s="1" t="s">
        <v>1037</v>
      </c>
      <c r="CQ17" s="2" t="s">
        <v>1038</v>
      </c>
      <c r="CR17" s="11">
        <v>262200000</v>
      </c>
      <c r="CS17" s="4">
        <f t="shared" si="36"/>
        <v>285</v>
      </c>
      <c r="CT17" s="11">
        <f t="shared" si="37"/>
        <v>52440000</v>
      </c>
      <c r="CU17" s="1" t="s">
        <v>1039</v>
      </c>
      <c r="CV17" s="2" t="s">
        <v>1040</v>
      </c>
      <c r="CW17" s="11">
        <v>204240000</v>
      </c>
      <c r="CX17" s="4">
        <f t="shared" si="38"/>
        <v>222</v>
      </c>
      <c r="CY17" s="11">
        <f t="shared" si="39"/>
        <v>40848000</v>
      </c>
      <c r="CZ17" s="1" t="s">
        <v>1041</v>
      </c>
      <c r="DA17" s="2" t="s">
        <v>1042</v>
      </c>
      <c r="DB17" s="11">
        <v>106720000</v>
      </c>
      <c r="DC17" s="4">
        <f t="shared" si="40"/>
        <v>116</v>
      </c>
      <c r="DD17" s="11">
        <f t="shared" si="41"/>
        <v>21344000</v>
      </c>
      <c r="DE17" s="1" t="s">
        <v>1043</v>
      </c>
      <c r="DF17" s="2" t="s">
        <v>1044</v>
      </c>
      <c r="DG17" s="11">
        <v>234600000</v>
      </c>
      <c r="DH17" s="4">
        <f t="shared" si="42"/>
        <v>255</v>
      </c>
      <c r="DI17" s="11">
        <f t="shared" si="43"/>
        <v>46920000</v>
      </c>
      <c r="DJ17" s="1" t="s">
        <v>1045</v>
      </c>
      <c r="DK17" s="2" t="s">
        <v>1046</v>
      </c>
      <c r="DL17" s="11">
        <v>380880000</v>
      </c>
      <c r="DM17" s="29">
        <f t="shared" si="44"/>
        <v>414</v>
      </c>
      <c r="DN17" s="11">
        <f t="shared" si="45"/>
        <v>76176000</v>
      </c>
      <c r="DO17" s="1" t="s">
        <v>1047</v>
      </c>
      <c r="DP17" s="2" t="s">
        <v>1048</v>
      </c>
      <c r="DQ17" s="24">
        <v>56120000</v>
      </c>
      <c r="DR17" s="4">
        <f t="shared" si="46"/>
        <v>61</v>
      </c>
      <c r="DS17" s="3">
        <f t="shared" si="47"/>
        <v>11224000</v>
      </c>
      <c r="DT17" s="88" t="s">
        <v>960</v>
      </c>
      <c r="DU17" s="89"/>
      <c r="DV17" s="31">
        <f>SUM(DV5:DV16)</f>
        <v>2946760000</v>
      </c>
      <c r="DW17" s="32">
        <f>SUM(DW5:DW16)</f>
        <v>3203</v>
      </c>
      <c r="DX17" s="31">
        <f>SUM(DX5:DX16)</f>
        <v>589352000</v>
      </c>
      <c r="DY17" s="1" t="s">
        <v>1049</v>
      </c>
      <c r="DZ17" s="2" t="s">
        <v>1050</v>
      </c>
      <c r="EA17" s="24">
        <v>163760000</v>
      </c>
      <c r="EB17" s="4">
        <f t="shared" si="50"/>
        <v>178</v>
      </c>
      <c r="EC17" s="11">
        <f t="shared" si="51"/>
        <v>32752000</v>
      </c>
      <c r="ED17" s="1" t="s">
        <v>1051</v>
      </c>
      <c r="EE17" s="2" t="s">
        <v>1052</v>
      </c>
      <c r="EF17" s="11">
        <v>125120000</v>
      </c>
      <c r="EG17" s="4">
        <f t="shared" si="52"/>
        <v>136</v>
      </c>
      <c r="EH17" s="11">
        <f t="shared" si="53"/>
        <v>25024000</v>
      </c>
      <c r="EI17" s="1" t="s">
        <v>1053</v>
      </c>
      <c r="EJ17" s="2" t="s">
        <v>562</v>
      </c>
      <c r="EK17" s="24">
        <v>305440000</v>
      </c>
      <c r="EL17" s="4">
        <f t="shared" si="54"/>
        <v>332</v>
      </c>
      <c r="EM17" s="11">
        <f t="shared" si="55"/>
        <v>61088000</v>
      </c>
      <c r="EN17" s="9"/>
      <c r="EO17" s="6"/>
      <c r="EP17" s="7"/>
      <c r="EQ17" s="8"/>
      <c r="ER17" s="7"/>
      <c r="ES17" s="1" t="s">
        <v>1054</v>
      </c>
      <c r="ET17" s="2" t="s">
        <v>1055</v>
      </c>
      <c r="EU17" s="24">
        <v>290720000</v>
      </c>
      <c r="EV17" s="4">
        <f t="shared" si="58"/>
        <v>316</v>
      </c>
      <c r="EW17" s="11">
        <f t="shared" si="59"/>
        <v>58144000</v>
      </c>
      <c r="EX17" s="1" t="s">
        <v>1056</v>
      </c>
      <c r="EY17" s="2" t="s">
        <v>1057</v>
      </c>
      <c r="EZ17" s="24">
        <v>211600000</v>
      </c>
      <c r="FA17" s="4">
        <f t="shared" si="60"/>
        <v>230</v>
      </c>
      <c r="FB17" s="11">
        <f t="shared" si="61"/>
        <v>42320000</v>
      </c>
      <c r="FC17" s="1" t="s">
        <v>1058</v>
      </c>
      <c r="FD17" s="2" t="s">
        <v>1059</v>
      </c>
      <c r="FE17" s="24">
        <v>186760000</v>
      </c>
      <c r="FF17" s="4">
        <f t="shared" si="62"/>
        <v>203</v>
      </c>
      <c r="FG17" s="11">
        <f t="shared" si="63"/>
        <v>37352000</v>
      </c>
      <c r="FH17" s="1" t="s">
        <v>1060</v>
      </c>
      <c r="FI17" s="2" t="s">
        <v>1061</v>
      </c>
      <c r="FJ17" s="24">
        <v>223560000</v>
      </c>
      <c r="FK17" s="4">
        <f t="shared" si="64"/>
        <v>243</v>
      </c>
      <c r="FL17" s="11">
        <f t="shared" si="65"/>
        <v>44712000</v>
      </c>
      <c r="FM17" s="1" t="s">
        <v>1062</v>
      </c>
      <c r="FN17" s="2" t="s">
        <v>1063</v>
      </c>
      <c r="FO17" s="11">
        <v>342240000</v>
      </c>
      <c r="FP17" s="4">
        <f t="shared" si="66"/>
        <v>372</v>
      </c>
      <c r="FQ17" s="11">
        <f t="shared" si="67"/>
        <v>68448000</v>
      </c>
      <c r="FR17" s="1" t="s">
        <v>1064</v>
      </c>
      <c r="FS17" s="2" t="s">
        <v>1065</v>
      </c>
      <c r="FT17" s="24">
        <v>276920000</v>
      </c>
      <c r="FU17" s="4">
        <f t="shared" si="68"/>
        <v>301</v>
      </c>
      <c r="FV17" s="11">
        <f t="shared" si="69"/>
        <v>55384000</v>
      </c>
      <c r="FW17" s="1" t="s">
        <v>1066</v>
      </c>
      <c r="FX17" s="2" t="s">
        <v>1067</v>
      </c>
      <c r="FY17" s="24">
        <v>198720000</v>
      </c>
      <c r="FZ17" s="4">
        <f t="shared" si="70"/>
        <v>216</v>
      </c>
      <c r="GA17" s="11">
        <f t="shared" si="71"/>
        <v>39744000</v>
      </c>
      <c r="GB17" s="1" t="s">
        <v>1068</v>
      </c>
      <c r="GC17" s="2" t="s">
        <v>1069</v>
      </c>
      <c r="GD17" s="24">
        <v>109480000</v>
      </c>
      <c r="GE17" s="4">
        <f t="shared" si="72"/>
        <v>119</v>
      </c>
      <c r="GF17" s="11">
        <f t="shared" si="73"/>
        <v>21896000</v>
      </c>
      <c r="GG17" s="1" t="s">
        <v>1070</v>
      </c>
      <c r="GH17" s="2" t="s">
        <v>1071</v>
      </c>
      <c r="GI17" s="24">
        <v>263120000</v>
      </c>
      <c r="GJ17" s="4">
        <f t="shared" si="74"/>
        <v>286</v>
      </c>
      <c r="GK17" s="11">
        <f t="shared" si="75"/>
        <v>52624000</v>
      </c>
      <c r="GL17" s="1" t="s">
        <v>1072</v>
      </c>
      <c r="GM17" s="2" t="s">
        <v>1073</v>
      </c>
      <c r="GN17" s="24">
        <v>275080000</v>
      </c>
      <c r="GO17" s="4">
        <f t="shared" si="76"/>
        <v>299</v>
      </c>
      <c r="GP17" s="11">
        <f t="shared" si="77"/>
        <v>55016000</v>
      </c>
      <c r="GQ17" s="1" t="s">
        <v>1074</v>
      </c>
      <c r="GR17" s="2" t="s">
        <v>1075</v>
      </c>
      <c r="GS17" s="24">
        <v>455400000</v>
      </c>
      <c r="GT17" s="4">
        <f t="shared" si="78"/>
        <v>495</v>
      </c>
      <c r="GU17" s="18">
        <f t="shared" si="79"/>
        <v>91080000</v>
      </c>
    </row>
    <row r="18" spans="3:203" x14ac:dyDescent="0.25">
      <c r="C18" s="4">
        <v>14</v>
      </c>
      <c r="D18" s="1" t="s">
        <v>1076</v>
      </c>
      <c r="E18" s="2" t="s">
        <v>1077</v>
      </c>
      <c r="F18" s="3">
        <v>391000000</v>
      </c>
      <c r="G18" s="4">
        <f t="shared" si="0"/>
        <v>425</v>
      </c>
      <c r="H18" s="3">
        <f t="shared" si="1"/>
        <v>78200000</v>
      </c>
      <c r="I18" s="1" t="s">
        <v>1078</v>
      </c>
      <c r="J18" s="2" t="s">
        <v>1079</v>
      </c>
      <c r="K18" s="11">
        <v>299000000</v>
      </c>
      <c r="L18" s="4">
        <f t="shared" si="2"/>
        <v>325</v>
      </c>
      <c r="M18" s="11">
        <f t="shared" si="3"/>
        <v>59800000</v>
      </c>
      <c r="N18" s="1" t="s">
        <v>1080</v>
      </c>
      <c r="O18" s="2" t="s">
        <v>1081</v>
      </c>
      <c r="P18" s="13">
        <v>241040000</v>
      </c>
      <c r="Q18" s="4">
        <f t="shared" si="4"/>
        <v>262</v>
      </c>
      <c r="R18" s="11">
        <f t="shared" si="5"/>
        <v>48208000</v>
      </c>
      <c r="S18" s="1" t="s">
        <v>1082</v>
      </c>
      <c r="T18" s="2" t="s">
        <v>1083</v>
      </c>
      <c r="U18" s="14">
        <v>237360000</v>
      </c>
      <c r="V18" s="4">
        <f t="shared" si="6"/>
        <v>258</v>
      </c>
      <c r="W18" s="11">
        <f t="shared" si="7"/>
        <v>47472000</v>
      </c>
      <c r="X18" s="1" t="s">
        <v>1084</v>
      </c>
      <c r="Y18" s="2" t="s">
        <v>1085</v>
      </c>
      <c r="Z18" s="3">
        <v>354200000</v>
      </c>
      <c r="AA18" s="4">
        <f t="shared" si="8"/>
        <v>385</v>
      </c>
      <c r="AB18" s="15">
        <f t="shared" si="9"/>
        <v>70840000</v>
      </c>
      <c r="AC18" s="1" t="s">
        <v>1086</v>
      </c>
      <c r="AD18" s="2" t="s">
        <v>1087</v>
      </c>
      <c r="AE18" s="11">
        <v>142600000</v>
      </c>
      <c r="AF18" s="4">
        <f t="shared" si="10"/>
        <v>155</v>
      </c>
      <c r="AG18" s="11">
        <f t="shared" si="11"/>
        <v>28520000</v>
      </c>
      <c r="AH18" s="1" t="s">
        <v>1088</v>
      </c>
      <c r="AI18" s="2" t="s">
        <v>801</v>
      </c>
      <c r="AJ18" s="10">
        <v>313720000</v>
      </c>
      <c r="AK18" s="4">
        <f t="shared" si="12"/>
        <v>341</v>
      </c>
      <c r="AL18" s="3">
        <f t="shared" si="13"/>
        <v>62744000</v>
      </c>
      <c r="AM18" s="1" t="s">
        <v>1089</v>
      </c>
      <c r="AN18" s="2" t="s">
        <v>1090</v>
      </c>
      <c r="AO18" s="11">
        <v>107640000</v>
      </c>
      <c r="AP18" s="4">
        <f t="shared" si="14"/>
        <v>117</v>
      </c>
      <c r="AQ18" s="11">
        <f t="shared" si="15"/>
        <v>21528000</v>
      </c>
      <c r="AR18" s="1" t="s">
        <v>1091</v>
      </c>
      <c r="AS18" s="2" t="s">
        <v>1092</v>
      </c>
      <c r="AT18" s="11">
        <v>182160000</v>
      </c>
      <c r="AU18" s="4">
        <f t="shared" si="16"/>
        <v>198</v>
      </c>
      <c r="AV18" s="11">
        <f t="shared" si="17"/>
        <v>36432000</v>
      </c>
      <c r="AW18" s="1" t="s">
        <v>1093</v>
      </c>
      <c r="AX18" s="2" t="s">
        <v>1094</v>
      </c>
      <c r="AY18" s="11">
        <v>90160000</v>
      </c>
      <c r="AZ18" s="4">
        <f t="shared" si="18"/>
        <v>98</v>
      </c>
      <c r="BA18" s="11">
        <f t="shared" si="19"/>
        <v>18032000</v>
      </c>
      <c r="BB18" s="1" t="s">
        <v>1095</v>
      </c>
      <c r="BC18" s="2" t="s">
        <v>1096</v>
      </c>
      <c r="BD18" s="11">
        <v>96600000</v>
      </c>
      <c r="BE18" s="4">
        <f t="shared" si="20"/>
        <v>105</v>
      </c>
      <c r="BF18" s="19">
        <f t="shared" si="21"/>
        <v>19320000</v>
      </c>
      <c r="BG18" s="1" t="s">
        <v>1097</v>
      </c>
      <c r="BH18" s="2" t="s">
        <v>1098</v>
      </c>
      <c r="BI18" s="11">
        <v>115000000</v>
      </c>
      <c r="BJ18" s="4">
        <f t="shared" si="22"/>
        <v>125</v>
      </c>
      <c r="BK18" s="11">
        <f t="shared" si="23"/>
        <v>23000000</v>
      </c>
      <c r="BL18" s="1" t="s">
        <v>1099</v>
      </c>
      <c r="BM18" s="2" t="s">
        <v>1100</v>
      </c>
      <c r="BN18" s="11">
        <v>224480000</v>
      </c>
      <c r="BO18" s="4">
        <f t="shared" si="24"/>
        <v>244</v>
      </c>
      <c r="BP18" s="11">
        <f t="shared" si="25"/>
        <v>44896000</v>
      </c>
      <c r="BQ18" s="1" t="s">
        <v>1101</v>
      </c>
      <c r="BR18" s="2" t="s">
        <v>1102</v>
      </c>
      <c r="BS18" s="11">
        <v>150880000</v>
      </c>
      <c r="BT18" s="4">
        <f t="shared" si="26"/>
        <v>164</v>
      </c>
      <c r="BU18" s="11">
        <f t="shared" si="27"/>
        <v>30176000</v>
      </c>
      <c r="BV18" s="1" t="s">
        <v>1103</v>
      </c>
      <c r="BW18" s="2" t="s">
        <v>1104</v>
      </c>
      <c r="BX18" s="11">
        <v>305440000</v>
      </c>
      <c r="BY18" s="4">
        <f t="shared" si="28"/>
        <v>332</v>
      </c>
      <c r="BZ18" s="11">
        <f t="shared" si="29"/>
        <v>61088000</v>
      </c>
      <c r="CA18" s="1" t="s">
        <v>1105</v>
      </c>
      <c r="CB18" s="2" t="s">
        <v>1106</v>
      </c>
      <c r="CC18" s="11">
        <v>323840000</v>
      </c>
      <c r="CD18" s="4">
        <f t="shared" si="30"/>
        <v>352</v>
      </c>
      <c r="CE18" s="11">
        <f t="shared" si="31"/>
        <v>64768000</v>
      </c>
      <c r="CF18" s="1" t="s">
        <v>1107</v>
      </c>
      <c r="CG18" s="2" t="s">
        <v>1108</v>
      </c>
      <c r="CH18" s="3">
        <v>227240000</v>
      </c>
      <c r="CI18" s="4">
        <f t="shared" si="32"/>
        <v>247</v>
      </c>
      <c r="CJ18" s="11">
        <f t="shared" si="33"/>
        <v>45448000</v>
      </c>
      <c r="CK18" s="9"/>
      <c r="CL18" s="6"/>
      <c r="CM18" s="7"/>
      <c r="CN18" s="8"/>
      <c r="CO18" s="7"/>
      <c r="CP18" s="88" t="s">
        <v>960</v>
      </c>
      <c r="CQ18" s="89"/>
      <c r="CR18" s="31">
        <f>SUM(CR5:CR17)</f>
        <v>3154680000</v>
      </c>
      <c r="CS18" s="32">
        <f>SUM(CS5:CS17)</f>
        <v>3429</v>
      </c>
      <c r="CT18" s="31">
        <f>SUM(CT5:CT17)</f>
        <v>630936000</v>
      </c>
      <c r="CU18" s="1" t="s">
        <v>1109</v>
      </c>
      <c r="CV18" s="2" t="s">
        <v>1110</v>
      </c>
      <c r="CW18" s="11">
        <v>179400000</v>
      </c>
      <c r="CX18" s="4">
        <f t="shared" si="38"/>
        <v>195</v>
      </c>
      <c r="CY18" s="11">
        <f t="shared" si="39"/>
        <v>35880000</v>
      </c>
      <c r="CZ18" s="1" t="s">
        <v>1111</v>
      </c>
      <c r="DA18" s="2" t="s">
        <v>1112</v>
      </c>
      <c r="DB18" s="11">
        <v>197800000</v>
      </c>
      <c r="DC18" s="4">
        <f t="shared" si="40"/>
        <v>215</v>
      </c>
      <c r="DD18" s="11">
        <f t="shared" si="41"/>
        <v>39560000</v>
      </c>
      <c r="DE18" s="1" t="s">
        <v>1113</v>
      </c>
      <c r="DF18" s="2" t="s">
        <v>1114</v>
      </c>
      <c r="DG18" s="11">
        <v>224480000</v>
      </c>
      <c r="DH18" s="4">
        <f t="shared" si="42"/>
        <v>244</v>
      </c>
      <c r="DI18" s="11">
        <f t="shared" si="43"/>
        <v>44896000</v>
      </c>
      <c r="DJ18" s="1" t="s">
        <v>1115</v>
      </c>
      <c r="DK18" s="2" t="s">
        <v>1116</v>
      </c>
      <c r="DL18" s="11">
        <v>223560000</v>
      </c>
      <c r="DM18" s="29">
        <f t="shared" si="44"/>
        <v>243</v>
      </c>
      <c r="DN18" s="11">
        <f t="shared" si="45"/>
        <v>44712000</v>
      </c>
      <c r="DO18" s="1" t="s">
        <v>1117</v>
      </c>
      <c r="DP18" s="2" t="s">
        <v>1118</v>
      </c>
      <c r="DQ18" s="24">
        <v>161920000</v>
      </c>
      <c r="DR18" s="4">
        <f t="shared" si="46"/>
        <v>176</v>
      </c>
      <c r="DS18" s="3">
        <f t="shared" si="47"/>
        <v>32384000</v>
      </c>
      <c r="DT18" s="9"/>
      <c r="DU18" s="6"/>
      <c r="DV18" s="25"/>
      <c r="DW18" s="8"/>
      <c r="DX18" s="7"/>
      <c r="DY18" s="1" t="s">
        <v>1119</v>
      </c>
      <c r="DZ18" s="2" t="s">
        <v>1120</v>
      </c>
      <c r="EA18" s="24">
        <v>331200000</v>
      </c>
      <c r="EB18" s="4">
        <f t="shared" si="50"/>
        <v>360</v>
      </c>
      <c r="EC18" s="11">
        <f t="shared" si="51"/>
        <v>66240000</v>
      </c>
      <c r="ED18" s="88" t="s">
        <v>960</v>
      </c>
      <c r="EE18" s="89"/>
      <c r="EF18" s="31">
        <f>SUM(EF5:EF17)</f>
        <v>2855680000</v>
      </c>
      <c r="EG18" s="32">
        <f>SUM(EG5:EG17)</f>
        <v>3104</v>
      </c>
      <c r="EH18" s="31">
        <f>SUM(EH5:EH17)</f>
        <v>571136000</v>
      </c>
      <c r="EI18" s="88" t="s">
        <v>960</v>
      </c>
      <c r="EJ18" s="89"/>
      <c r="EK18" s="31">
        <f>SUM(EK5:EK17)</f>
        <v>3068200000</v>
      </c>
      <c r="EL18" s="32">
        <f>SUM(EL5:EL17)</f>
        <v>3335</v>
      </c>
      <c r="EM18" s="31">
        <f>SUM(EM5:EM17)</f>
        <v>613640000</v>
      </c>
      <c r="EN18" s="9"/>
      <c r="EO18" s="6"/>
      <c r="EP18" s="7"/>
      <c r="EQ18" s="8"/>
      <c r="ER18" s="7"/>
      <c r="ES18" s="1" t="s">
        <v>1121</v>
      </c>
      <c r="ET18" s="2" t="s">
        <v>1122</v>
      </c>
      <c r="EU18" s="24">
        <v>369840000</v>
      </c>
      <c r="EV18" s="4">
        <f t="shared" si="58"/>
        <v>402</v>
      </c>
      <c r="EW18" s="11">
        <f t="shared" si="59"/>
        <v>73968000</v>
      </c>
      <c r="EX18" s="1" t="s">
        <v>1123</v>
      </c>
      <c r="EY18" s="2" t="s">
        <v>1124</v>
      </c>
      <c r="EZ18" s="24">
        <v>216200000</v>
      </c>
      <c r="FA18" s="4">
        <f t="shared" si="60"/>
        <v>235</v>
      </c>
      <c r="FB18" s="11">
        <f t="shared" si="61"/>
        <v>43240000</v>
      </c>
      <c r="FC18" s="1" t="s">
        <v>1125</v>
      </c>
      <c r="FD18" s="2" t="s">
        <v>1126</v>
      </c>
      <c r="FE18" s="24">
        <v>133400000</v>
      </c>
      <c r="FF18" s="4">
        <f t="shared" si="62"/>
        <v>145</v>
      </c>
      <c r="FG18" s="11">
        <f t="shared" si="63"/>
        <v>26680000</v>
      </c>
      <c r="FH18" s="1" t="s">
        <v>1127</v>
      </c>
      <c r="FI18" s="2" t="s">
        <v>1128</v>
      </c>
      <c r="FJ18" s="24">
        <v>63480000</v>
      </c>
      <c r="FK18" s="4">
        <f t="shared" si="64"/>
        <v>69</v>
      </c>
      <c r="FL18" s="11">
        <f t="shared" si="65"/>
        <v>12696000</v>
      </c>
      <c r="FM18" s="1" t="s">
        <v>1129</v>
      </c>
      <c r="FN18" s="2" t="s">
        <v>1130</v>
      </c>
      <c r="FO18" s="11">
        <v>132480000</v>
      </c>
      <c r="FP18" s="4">
        <f t="shared" si="66"/>
        <v>144</v>
      </c>
      <c r="FQ18" s="11">
        <f t="shared" si="67"/>
        <v>26496000</v>
      </c>
      <c r="FR18" s="1" t="s">
        <v>1131</v>
      </c>
      <c r="FS18" s="2" t="s">
        <v>1132</v>
      </c>
      <c r="FT18" s="24">
        <v>186760000</v>
      </c>
      <c r="FU18" s="4">
        <f t="shared" si="68"/>
        <v>203</v>
      </c>
      <c r="FV18" s="11">
        <f t="shared" si="69"/>
        <v>37352000</v>
      </c>
      <c r="FW18" s="1" t="s">
        <v>1133</v>
      </c>
      <c r="FX18" s="2" t="s">
        <v>1134</v>
      </c>
      <c r="FY18" s="24">
        <v>109480000</v>
      </c>
      <c r="FZ18" s="4">
        <f t="shared" si="70"/>
        <v>119</v>
      </c>
      <c r="GA18" s="11">
        <f t="shared" si="71"/>
        <v>21896000</v>
      </c>
      <c r="GB18" s="1" t="s">
        <v>1135</v>
      </c>
      <c r="GC18" s="2" t="s">
        <v>1136</v>
      </c>
      <c r="GD18" s="24">
        <v>177560000</v>
      </c>
      <c r="GE18" s="4">
        <f t="shared" si="72"/>
        <v>193</v>
      </c>
      <c r="GF18" s="11">
        <f t="shared" si="73"/>
        <v>35512000</v>
      </c>
      <c r="GG18" s="88" t="s">
        <v>960</v>
      </c>
      <c r="GH18" s="89"/>
      <c r="GI18" s="31">
        <f>SUM(GI5:GI17)</f>
        <v>3598120000</v>
      </c>
      <c r="GJ18" s="32">
        <f>SUM(GJ5:GJ17)</f>
        <v>3911</v>
      </c>
      <c r="GK18" s="31">
        <f>SUM(GK5:GK17)</f>
        <v>719624000</v>
      </c>
      <c r="GL18" s="1" t="s">
        <v>1137</v>
      </c>
      <c r="GM18" s="2" t="s">
        <v>1138</v>
      </c>
      <c r="GN18" s="24">
        <v>252080000</v>
      </c>
      <c r="GO18" s="4">
        <f t="shared" si="76"/>
        <v>274</v>
      </c>
      <c r="GP18" s="11">
        <f t="shared" si="77"/>
        <v>50416000</v>
      </c>
      <c r="GQ18" s="1" t="s">
        <v>1139</v>
      </c>
      <c r="GR18" s="2" t="s">
        <v>1140</v>
      </c>
      <c r="GS18" s="24">
        <v>111320000</v>
      </c>
      <c r="GT18" s="4">
        <f t="shared" si="78"/>
        <v>121</v>
      </c>
      <c r="GU18" s="18">
        <f t="shared" si="79"/>
        <v>22264000</v>
      </c>
    </row>
    <row r="19" spans="3:203" x14ac:dyDescent="0.25">
      <c r="C19" s="4">
        <v>15</v>
      </c>
      <c r="D19" s="1" t="s">
        <v>1141</v>
      </c>
      <c r="E19" s="2" t="s">
        <v>1142</v>
      </c>
      <c r="F19" s="3">
        <v>422280000</v>
      </c>
      <c r="G19" s="4">
        <f t="shared" si="0"/>
        <v>459</v>
      </c>
      <c r="H19" s="3">
        <f t="shared" si="1"/>
        <v>84456000</v>
      </c>
      <c r="I19" s="1" t="s">
        <v>1143</v>
      </c>
      <c r="J19" s="2" t="s">
        <v>1144</v>
      </c>
      <c r="K19" s="11">
        <v>232760000</v>
      </c>
      <c r="L19" s="4">
        <f t="shared" si="2"/>
        <v>253</v>
      </c>
      <c r="M19" s="11">
        <f t="shared" si="3"/>
        <v>46552000</v>
      </c>
      <c r="N19" s="1" t="s">
        <v>1145</v>
      </c>
      <c r="O19" s="2" t="s">
        <v>1146</v>
      </c>
      <c r="P19" s="13">
        <v>200560000</v>
      </c>
      <c r="Q19" s="4">
        <f t="shared" si="4"/>
        <v>218</v>
      </c>
      <c r="R19" s="11">
        <f t="shared" si="5"/>
        <v>40112000</v>
      </c>
      <c r="S19" s="1" t="s">
        <v>1147</v>
      </c>
      <c r="T19" s="2" t="s">
        <v>1148</v>
      </c>
      <c r="U19" s="14">
        <v>387320000</v>
      </c>
      <c r="V19" s="4">
        <f t="shared" si="6"/>
        <v>421</v>
      </c>
      <c r="W19" s="11">
        <f t="shared" si="7"/>
        <v>77464000</v>
      </c>
      <c r="X19" s="1" t="s">
        <v>1149</v>
      </c>
      <c r="Y19" s="2" t="s">
        <v>1150</v>
      </c>
      <c r="Z19" s="3">
        <v>366160000</v>
      </c>
      <c r="AA19" s="4">
        <f t="shared" si="8"/>
        <v>398</v>
      </c>
      <c r="AB19" s="11">
        <f t="shared" si="9"/>
        <v>73232000</v>
      </c>
      <c r="AC19" s="88" t="s">
        <v>960</v>
      </c>
      <c r="AD19" s="89"/>
      <c r="AE19" s="31">
        <f>SUM(AE5:AE18)</f>
        <v>3217240000</v>
      </c>
      <c r="AF19" s="32">
        <f>SUM(AF5:AF18)</f>
        <v>3497</v>
      </c>
      <c r="AG19" s="31">
        <f>SUM(AG5:AG18)</f>
        <v>643448000</v>
      </c>
      <c r="AH19" s="1" t="s">
        <v>1151</v>
      </c>
      <c r="AI19" s="2" t="s">
        <v>1152</v>
      </c>
      <c r="AJ19" s="10">
        <v>130640000</v>
      </c>
      <c r="AK19" s="4">
        <f t="shared" si="12"/>
        <v>142</v>
      </c>
      <c r="AL19" s="3">
        <f t="shared" si="13"/>
        <v>26128000</v>
      </c>
      <c r="AM19" s="1" t="s">
        <v>1153</v>
      </c>
      <c r="AN19" s="2" t="s">
        <v>1154</v>
      </c>
      <c r="AO19" s="11">
        <v>89240000</v>
      </c>
      <c r="AP19" s="4">
        <f t="shared" si="14"/>
        <v>97</v>
      </c>
      <c r="AQ19" s="11">
        <f t="shared" si="15"/>
        <v>17848000</v>
      </c>
      <c r="AR19" s="1" t="s">
        <v>1155</v>
      </c>
      <c r="AS19" s="2" t="s">
        <v>1156</v>
      </c>
      <c r="AT19" s="11">
        <v>235520000</v>
      </c>
      <c r="AU19" s="4">
        <f t="shared" si="16"/>
        <v>256</v>
      </c>
      <c r="AV19" s="11">
        <f t="shared" si="17"/>
        <v>47104000</v>
      </c>
      <c r="AW19" s="1" t="s">
        <v>1157</v>
      </c>
      <c r="AX19" s="2" t="s">
        <v>1158</v>
      </c>
      <c r="AY19" s="11">
        <v>202400000</v>
      </c>
      <c r="AZ19" s="4">
        <f t="shared" si="18"/>
        <v>220</v>
      </c>
      <c r="BA19" s="11">
        <f t="shared" si="19"/>
        <v>40480000</v>
      </c>
      <c r="BB19" s="1" t="s">
        <v>1159</v>
      </c>
      <c r="BC19" s="2" t="s">
        <v>1160</v>
      </c>
      <c r="BD19" s="11">
        <v>350520000</v>
      </c>
      <c r="BE19" s="4">
        <f t="shared" si="20"/>
        <v>381</v>
      </c>
      <c r="BF19" s="19">
        <f t="shared" si="21"/>
        <v>70104000</v>
      </c>
      <c r="BG19" s="1" t="s">
        <v>1161</v>
      </c>
      <c r="BH19" s="2" t="s">
        <v>1162</v>
      </c>
      <c r="BI19" s="11">
        <v>370760000</v>
      </c>
      <c r="BJ19" s="4">
        <f t="shared" si="22"/>
        <v>403</v>
      </c>
      <c r="BK19" s="11">
        <f t="shared" si="23"/>
        <v>74152000</v>
      </c>
      <c r="BL19" s="1" t="s">
        <v>1163</v>
      </c>
      <c r="BM19" s="2" t="s">
        <v>1164</v>
      </c>
      <c r="BN19" s="11">
        <v>158240000</v>
      </c>
      <c r="BO19" s="4">
        <f t="shared" si="24"/>
        <v>172</v>
      </c>
      <c r="BP19" s="11">
        <f t="shared" si="25"/>
        <v>31648000</v>
      </c>
      <c r="BQ19" s="1" t="s">
        <v>1165</v>
      </c>
      <c r="BR19" s="2" t="s">
        <v>1166</v>
      </c>
      <c r="BS19" s="11">
        <v>96600000</v>
      </c>
      <c r="BT19" s="4">
        <f t="shared" si="26"/>
        <v>105</v>
      </c>
      <c r="BU19" s="11">
        <f t="shared" si="27"/>
        <v>19320000</v>
      </c>
      <c r="BV19" s="1" t="s">
        <v>1167</v>
      </c>
      <c r="BW19" s="2" t="s">
        <v>1168</v>
      </c>
      <c r="BX19" s="11">
        <v>80960000</v>
      </c>
      <c r="BY19" s="4">
        <f t="shared" si="28"/>
        <v>88</v>
      </c>
      <c r="BZ19" s="11">
        <f t="shared" si="29"/>
        <v>16192000</v>
      </c>
      <c r="CA19" s="1" t="s">
        <v>1169</v>
      </c>
      <c r="CB19" s="2" t="s">
        <v>1170</v>
      </c>
      <c r="CC19" s="11">
        <v>151800000</v>
      </c>
      <c r="CD19" s="4">
        <f t="shared" si="30"/>
        <v>165</v>
      </c>
      <c r="CE19" s="11">
        <f t="shared" si="31"/>
        <v>30360000</v>
      </c>
      <c r="CF19" s="1" t="s">
        <v>1171</v>
      </c>
      <c r="CG19" s="2" t="s">
        <v>1172</v>
      </c>
      <c r="CH19" s="3">
        <v>204240000</v>
      </c>
      <c r="CI19" s="4">
        <f t="shared" si="32"/>
        <v>222</v>
      </c>
      <c r="CJ19" s="11">
        <f t="shared" si="33"/>
        <v>40848000</v>
      </c>
      <c r="CK19" s="9"/>
      <c r="CL19" s="6"/>
      <c r="CM19" s="7"/>
      <c r="CN19" s="8"/>
      <c r="CO19" s="7"/>
      <c r="CP19" s="9"/>
      <c r="CQ19" s="6"/>
      <c r="CR19" s="7"/>
      <c r="CS19" s="8"/>
      <c r="CT19" s="7"/>
      <c r="CU19" s="1" t="s">
        <v>1173</v>
      </c>
      <c r="CV19" s="2" t="s">
        <v>1174</v>
      </c>
      <c r="CW19" s="11">
        <v>35880000</v>
      </c>
      <c r="CX19" s="4">
        <f t="shared" si="38"/>
        <v>39</v>
      </c>
      <c r="CY19" s="11">
        <f t="shared" si="39"/>
        <v>7176000</v>
      </c>
      <c r="CZ19" s="1" t="s">
        <v>1175</v>
      </c>
      <c r="DA19" s="2" t="s">
        <v>1176</v>
      </c>
      <c r="DB19" s="11">
        <v>185840000</v>
      </c>
      <c r="DC19" s="4">
        <f t="shared" si="40"/>
        <v>202</v>
      </c>
      <c r="DD19" s="11">
        <f t="shared" si="41"/>
        <v>37168000</v>
      </c>
      <c r="DE19" s="1" t="s">
        <v>1177</v>
      </c>
      <c r="DF19" s="2" t="s">
        <v>1178</v>
      </c>
      <c r="DG19" s="11">
        <v>325680000</v>
      </c>
      <c r="DH19" s="4">
        <f t="shared" si="42"/>
        <v>354</v>
      </c>
      <c r="DI19" s="11">
        <f t="shared" si="43"/>
        <v>65136000</v>
      </c>
      <c r="DJ19" s="1" t="s">
        <v>1179</v>
      </c>
      <c r="DK19" s="2" t="s">
        <v>1180</v>
      </c>
      <c r="DL19" s="11">
        <v>225400000</v>
      </c>
      <c r="DM19" s="29">
        <f t="shared" si="44"/>
        <v>245</v>
      </c>
      <c r="DN19" s="11">
        <f t="shared" si="45"/>
        <v>45080000</v>
      </c>
      <c r="DO19" s="1" t="s">
        <v>1181</v>
      </c>
      <c r="DP19" s="2" t="s">
        <v>1182</v>
      </c>
      <c r="DQ19" s="24">
        <v>184000000</v>
      </c>
      <c r="DR19" s="4">
        <f t="shared" si="46"/>
        <v>200</v>
      </c>
      <c r="DS19" s="3">
        <f t="shared" si="47"/>
        <v>36800000</v>
      </c>
      <c r="DT19" s="9"/>
      <c r="DU19" s="6"/>
      <c r="DV19" s="25"/>
      <c r="DW19" s="8"/>
      <c r="DX19" s="7"/>
      <c r="DY19" s="1" t="s">
        <v>1183</v>
      </c>
      <c r="DZ19" s="2" t="s">
        <v>1184</v>
      </c>
      <c r="EA19" s="24">
        <v>310960000</v>
      </c>
      <c r="EB19" s="4">
        <f t="shared" si="50"/>
        <v>338</v>
      </c>
      <c r="EC19" s="11">
        <f t="shared" si="51"/>
        <v>62192000</v>
      </c>
      <c r="ED19" s="9"/>
      <c r="EE19" s="6"/>
      <c r="EF19" s="7"/>
      <c r="EG19" s="8"/>
      <c r="EH19" s="7"/>
      <c r="EI19" s="9"/>
      <c r="EJ19" s="6"/>
      <c r="EK19" s="7"/>
      <c r="EL19" s="8"/>
      <c r="EM19" s="7"/>
      <c r="EN19" s="9"/>
      <c r="EO19" s="6"/>
      <c r="EP19" s="7"/>
      <c r="EQ19" s="8"/>
      <c r="ER19" s="7"/>
      <c r="ES19" s="1" t="s">
        <v>1185</v>
      </c>
      <c r="ET19" s="2" t="s">
        <v>1186</v>
      </c>
      <c r="EU19" s="24">
        <v>219880000</v>
      </c>
      <c r="EV19" s="4">
        <f t="shared" si="58"/>
        <v>239</v>
      </c>
      <c r="EW19" s="11">
        <f t="shared" si="59"/>
        <v>43976000</v>
      </c>
      <c r="EX19" s="1" t="s">
        <v>1187</v>
      </c>
      <c r="EY19" s="2" t="s">
        <v>1188</v>
      </c>
      <c r="EZ19" s="24">
        <v>471960000</v>
      </c>
      <c r="FA19" s="4">
        <f t="shared" si="60"/>
        <v>513</v>
      </c>
      <c r="FB19" s="11">
        <f t="shared" si="61"/>
        <v>94392000</v>
      </c>
      <c r="FC19" s="1" t="s">
        <v>1189</v>
      </c>
      <c r="FD19" s="2" t="s">
        <v>1190</v>
      </c>
      <c r="FE19" s="24">
        <v>136160000</v>
      </c>
      <c r="FF19" s="4">
        <f t="shared" si="62"/>
        <v>148</v>
      </c>
      <c r="FG19" s="11">
        <f t="shared" si="63"/>
        <v>27232000</v>
      </c>
      <c r="FH19" s="1" t="s">
        <v>1191</v>
      </c>
      <c r="FI19" s="2" t="s">
        <v>1192</v>
      </c>
      <c r="FJ19" s="24">
        <v>560280000</v>
      </c>
      <c r="FK19" s="4">
        <f t="shared" si="64"/>
        <v>609</v>
      </c>
      <c r="FL19" s="11">
        <f t="shared" si="65"/>
        <v>112056000</v>
      </c>
      <c r="FM19" s="1" t="s">
        <v>1193</v>
      </c>
      <c r="FN19" s="2" t="s">
        <v>1194</v>
      </c>
      <c r="FO19" s="11">
        <v>60720000</v>
      </c>
      <c r="FP19" s="4">
        <f t="shared" si="66"/>
        <v>66</v>
      </c>
      <c r="FQ19" s="11">
        <f t="shared" si="67"/>
        <v>12144000</v>
      </c>
      <c r="FR19" s="1" t="s">
        <v>1195</v>
      </c>
      <c r="FS19" s="2" t="s">
        <v>1196</v>
      </c>
      <c r="FT19" s="24">
        <v>529000000</v>
      </c>
      <c r="FU19" s="4">
        <f t="shared" si="68"/>
        <v>575</v>
      </c>
      <c r="FV19" s="11">
        <f t="shared" si="69"/>
        <v>105800000</v>
      </c>
      <c r="FW19" s="1" t="s">
        <v>1197</v>
      </c>
      <c r="FX19" s="2" t="s">
        <v>1198</v>
      </c>
      <c r="FY19" s="24">
        <v>226320000</v>
      </c>
      <c r="FZ19" s="4">
        <f t="shared" si="70"/>
        <v>246</v>
      </c>
      <c r="GA19" s="11">
        <f t="shared" si="71"/>
        <v>45264000</v>
      </c>
      <c r="GB19" s="1" t="s">
        <v>1199</v>
      </c>
      <c r="GC19" s="2" t="s">
        <v>1200</v>
      </c>
      <c r="GD19" s="24">
        <v>120520000</v>
      </c>
      <c r="GE19" s="4">
        <f t="shared" si="72"/>
        <v>131</v>
      </c>
      <c r="GF19" s="11">
        <f t="shared" si="73"/>
        <v>24104000</v>
      </c>
      <c r="GG19" s="9"/>
      <c r="GH19" s="6"/>
      <c r="GI19" s="7"/>
      <c r="GJ19" s="8"/>
      <c r="GK19" s="7"/>
      <c r="GL19" s="1" t="s">
        <v>1201</v>
      </c>
      <c r="GM19" s="2" t="s">
        <v>1202</v>
      </c>
      <c r="GN19" s="24">
        <v>417680000</v>
      </c>
      <c r="GO19" s="4">
        <f t="shared" si="76"/>
        <v>454</v>
      </c>
      <c r="GP19" s="11">
        <f t="shared" si="77"/>
        <v>83536000</v>
      </c>
      <c r="GQ19" s="1" t="s">
        <v>1203</v>
      </c>
      <c r="GR19" s="2" t="s">
        <v>1204</v>
      </c>
      <c r="GS19" s="24">
        <v>334880000</v>
      </c>
      <c r="GT19" s="4">
        <f t="shared" si="78"/>
        <v>364</v>
      </c>
      <c r="GU19" s="18">
        <f t="shared" si="79"/>
        <v>66976000</v>
      </c>
    </row>
    <row r="20" spans="3:203" x14ac:dyDescent="0.25">
      <c r="C20" s="4">
        <v>16</v>
      </c>
      <c r="D20" s="1" t="s">
        <v>1205</v>
      </c>
      <c r="E20" s="2" t="s">
        <v>1206</v>
      </c>
      <c r="F20" s="3">
        <v>305440000</v>
      </c>
      <c r="G20" s="4">
        <f t="shared" si="0"/>
        <v>332</v>
      </c>
      <c r="H20" s="3">
        <f t="shared" si="1"/>
        <v>61088000</v>
      </c>
      <c r="I20" s="1" t="s">
        <v>1207</v>
      </c>
      <c r="J20" s="2" t="s">
        <v>1208</v>
      </c>
      <c r="K20" s="11">
        <v>108560000</v>
      </c>
      <c r="L20" s="4">
        <f t="shared" si="2"/>
        <v>118</v>
      </c>
      <c r="M20" s="11">
        <f t="shared" si="3"/>
        <v>21712000</v>
      </c>
      <c r="N20" s="1" t="s">
        <v>1209</v>
      </c>
      <c r="O20" s="2" t="s">
        <v>1210</v>
      </c>
      <c r="P20" s="13">
        <v>385480000</v>
      </c>
      <c r="Q20" s="4">
        <f t="shared" si="4"/>
        <v>419</v>
      </c>
      <c r="R20" s="11">
        <f t="shared" si="5"/>
        <v>77096000</v>
      </c>
      <c r="S20" s="1" t="s">
        <v>1211</v>
      </c>
      <c r="T20" s="2" t="s">
        <v>1212</v>
      </c>
      <c r="U20" s="14">
        <v>237360000</v>
      </c>
      <c r="V20" s="4">
        <f t="shared" si="6"/>
        <v>258</v>
      </c>
      <c r="W20" s="11">
        <f t="shared" si="7"/>
        <v>47472000</v>
      </c>
      <c r="X20" s="88" t="s">
        <v>960</v>
      </c>
      <c r="Y20" s="89"/>
      <c r="Z20" s="31">
        <f>SUM(Z5:Z19)</f>
        <v>3665280000</v>
      </c>
      <c r="AA20" s="32">
        <f>SUM(AA5:AA19)</f>
        <v>3984</v>
      </c>
      <c r="AB20" s="31">
        <f>SUM(AB5:AB19)</f>
        <v>733056000</v>
      </c>
      <c r="AC20" s="9"/>
      <c r="AD20" s="6"/>
      <c r="AE20" s="7"/>
      <c r="AF20" s="8"/>
      <c r="AG20" s="7"/>
      <c r="AH20" s="1" t="s">
        <v>1213</v>
      </c>
      <c r="AI20" s="2" t="s">
        <v>1214</v>
      </c>
      <c r="AJ20" s="10">
        <v>87400000</v>
      </c>
      <c r="AK20" s="4">
        <f t="shared" si="12"/>
        <v>95</v>
      </c>
      <c r="AL20" s="3">
        <f t="shared" si="13"/>
        <v>17480000</v>
      </c>
      <c r="AM20" s="1" t="s">
        <v>1215</v>
      </c>
      <c r="AN20" s="2" t="s">
        <v>1216</v>
      </c>
      <c r="AO20" s="11">
        <v>57040000</v>
      </c>
      <c r="AP20" s="4">
        <f t="shared" si="14"/>
        <v>62</v>
      </c>
      <c r="AQ20" s="11">
        <f t="shared" si="15"/>
        <v>11408000</v>
      </c>
      <c r="AR20" s="1" t="s">
        <v>1217</v>
      </c>
      <c r="AS20" s="2" t="s">
        <v>1218</v>
      </c>
      <c r="AT20" s="11">
        <v>328440000</v>
      </c>
      <c r="AU20" s="4">
        <f t="shared" si="16"/>
        <v>357</v>
      </c>
      <c r="AV20" s="11">
        <f t="shared" si="17"/>
        <v>65688000</v>
      </c>
      <c r="AW20" s="1" t="s">
        <v>1219</v>
      </c>
      <c r="AX20" s="2" t="s">
        <v>1220</v>
      </c>
      <c r="AY20" s="11">
        <v>121440000</v>
      </c>
      <c r="AZ20" s="4">
        <f t="shared" si="18"/>
        <v>132</v>
      </c>
      <c r="BA20" s="11">
        <f t="shared" si="19"/>
        <v>24288000</v>
      </c>
      <c r="BB20" s="88" t="s">
        <v>960</v>
      </c>
      <c r="BC20" s="89"/>
      <c r="BD20" s="31">
        <f>SUM(BD5:BD19)</f>
        <v>3571440000</v>
      </c>
      <c r="BE20" s="32">
        <f>SUM(BE5:BE19)</f>
        <v>3882</v>
      </c>
      <c r="BF20" s="31">
        <f>SUM(BF5:BF19)</f>
        <v>714288000</v>
      </c>
      <c r="BG20" s="88" t="s">
        <v>960</v>
      </c>
      <c r="BH20" s="89"/>
      <c r="BI20" s="31">
        <f>SUM(BI5:BI19)</f>
        <v>5251360000</v>
      </c>
      <c r="BJ20" s="32">
        <f>SUM(BJ5:BJ19)</f>
        <v>5708</v>
      </c>
      <c r="BK20" s="31">
        <f>SUM(BK5:BK19)</f>
        <v>1050272000</v>
      </c>
      <c r="BL20" s="1" t="s">
        <v>1221</v>
      </c>
      <c r="BM20" s="2" t="s">
        <v>1222</v>
      </c>
      <c r="BN20" s="11">
        <v>194120000</v>
      </c>
      <c r="BO20" s="4">
        <f t="shared" si="24"/>
        <v>211</v>
      </c>
      <c r="BP20" s="11">
        <f t="shared" si="25"/>
        <v>38824000</v>
      </c>
      <c r="BQ20" s="1" t="s">
        <v>1223</v>
      </c>
      <c r="BR20" s="2" t="s">
        <v>1224</v>
      </c>
      <c r="BS20" s="11">
        <v>119600000</v>
      </c>
      <c r="BT20" s="4">
        <f t="shared" si="26"/>
        <v>130</v>
      </c>
      <c r="BU20" s="11">
        <f t="shared" si="27"/>
        <v>23920000</v>
      </c>
      <c r="BV20" s="88" t="s">
        <v>960</v>
      </c>
      <c r="BW20" s="89"/>
      <c r="BX20" s="31">
        <f>SUM(BX5:BX19)</f>
        <v>3230120000</v>
      </c>
      <c r="BY20" s="32">
        <f>SUM(BY5:BY19)</f>
        <v>3511</v>
      </c>
      <c r="BZ20" s="31">
        <f>SUM(BZ5:BZ19)</f>
        <v>646024000</v>
      </c>
      <c r="CA20" s="1" t="s">
        <v>1225</v>
      </c>
      <c r="CB20" s="2" t="s">
        <v>1226</v>
      </c>
      <c r="CC20" s="11">
        <v>391000000</v>
      </c>
      <c r="CD20" s="4">
        <f t="shared" si="30"/>
        <v>425</v>
      </c>
      <c r="CE20" s="11">
        <f t="shared" si="31"/>
        <v>78200000</v>
      </c>
      <c r="CF20" s="1" t="s">
        <v>1227</v>
      </c>
      <c r="CG20" s="2" t="s">
        <v>1228</v>
      </c>
      <c r="CH20" s="3">
        <v>75440000</v>
      </c>
      <c r="CI20" s="4">
        <f t="shared" si="32"/>
        <v>82</v>
      </c>
      <c r="CJ20" s="11">
        <f t="shared" si="33"/>
        <v>15088000</v>
      </c>
      <c r="CK20" s="9"/>
      <c r="CL20" s="6"/>
      <c r="CM20" s="7"/>
      <c r="CN20" s="8"/>
      <c r="CO20" s="7"/>
      <c r="CP20" s="9"/>
      <c r="CQ20" s="6"/>
      <c r="CR20" s="7"/>
      <c r="CS20" s="8"/>
      <c r="CT20" s="7"/>
      <c r="CU20" s="1" t="s">
        <v>1229</v>
      </c>
      <c r="CV20" s="2" t="s">
        <v>1230</v>
      </c>
      <c r="CW20" s="11">
        <v>384560000</v>
      </c>
      <c r="CX20" s="4">
        <f t="shared" si="38"/>
        <v>418</v>
      </c>
      <c r="CY20" s="11">
        <f t="shared" si="39"/>
        <v>76912000</v>
      </c>
      <c r="CZ20" s="1" t="s">
        <v>1231</v>
      </c>
      <c r="DA20" s="2" t="s">
        <v>1232</v>
      </c>
      <c r="DB20" s="11">
        <v>269560000</v>
      </c>
      <c r="DC20" s="4">
        <f t="shared" si="40"/>
        <v>293</v>
      </c>
      <c r="DD20" s="11">
        <f t="shared" si="41"/>
        <v>53912000</v>
      </c>
      <c r="DE20" s="1" t="s">
        <v>1233</v>
      </c>
      <c r="DF20" s="2" t="s">
        <v>1234</v>
      </c>
      <c r="DG20" s="11">
        <v>135240000</v>
      </c>
      <c r="DH20" s="4">
        <f t="shared" si="42"/>
        <v>147</v>
      </c>
      <c r="DI20" s="11">
        <f t="shared" si="43"/>
        <v>27048000</v>
      </c>
      <c r="DJ20" s="1" t="s">
        <v>1235</v>
      </c>
      <c r="DK20" s="2" t="s">
        <v>1236</v>
      </c>
      <c r="DL20" s="11">
        <v>199640000</v>
      </c>
      <c r="DM20" s="29">
        <f t="shared" si="44"/>
        <v>217</v>
      </c>
      <c r="DN20" s="11">
        <f t="shared" si="45"/>
        <v>39928000</v>
      </c>
      <c r="DO20" s="1" t="s">
        <v>1237</v>
      </c>
      <c r="DP20" s="2" t="s">
        <v>1238</v>
      </c>
      <c r="DQ20" s="24">
        <v>137080000</v>
      </c>
      <c r="DR20" s="4">
        <f t="shared" si="46"/>
        <v>149</v>
      </c>
      <c r="DS20" s="3">
        <f t="shared" si="47"/>
        <v>27416000</v>
      </c>
      <c r="DT20" s="9"/>
      <c r="DU20" s="6"/>
      <c r="DV20" s="25"/>
      <c r="DW20" s="8"/>
      <c r="DX20" s="7"/>
      <c r="DY20" s="1" t="s">
        <v>1239</v>
      </c>
      <c r="DZ20" s="2" t="s">
        <v>1240</v>
      </c>
      <c r="EA20" s="24">
        <v>460920000</v>
      </c>
      <c r="EB20" s="4">
        <f t="shared" si="50"/>
        <v>501</v>
      </c>
      <c r="EC20" s="11">
        <f t="shared" si="51"/>
        <v>92184000</v>
      </c>
      <c r="ED20" s="9"/>
      <c r="EE20" s="6"/>
      <c r="EF20" s="7"/>
      <c r="EG20" s="8"/>
      <c r="EH20" s="7"/>
      <c r="EI20" s="9"/>
      <c r="EJ20" s="6"/>
      <c r="EK20" s="7"/>
      <c r="EL20" s="8"/>
      <c r="EM20" s="7"/>
      <c r="EN20" s="9"/>
      <c r="EO20" s="6"/>
      <c r="EP20" s="7"/>
      <c r="EQ20" s="8"/>
      <c r="ER20" s="7"/>
      <c r="ES20" s="1" t="s">
        <v>1241</v>
      </c>
      <c r="ET20" s="2" t="s">
        <v>1242</v>
      </c>
      <c r="EU20" s="24">
        <v>215280000</v>
      </c>
      <c r="EV20" s="4">
        <f t="shared" si="58"/>
        <v>234</v>
      </c>
      <c r="EW20" s="11">
        <f t="shared" si="59"/>
        <v>43056000</v>
      </c>
      <c r="EX20" s="1" t="s">
        <v>1243</v>
      </c>
      <c r="EY20" s="2" t="s">
        <v>1244</v>
      </c>
      <c r="EZ20" s="24">
        <v>245640000</v>
      </c>
      <c r="FA20" s="4">
        <f t="shared" si="60"/>
        <v>267</v>
      </c>
      <c r="FB20" s="11">
        <f t="shared" si="61"/>
        <v>49128000</v>
      </c>
      <c r="FC20" s="1" t="s">
        <v>1245</v>
      </c>
      <c r="FD20" s="2" t="s">
        <v>1246</v>
      </c>
      <c r="FE20" s="24">
        <v>395600000</v>
      </c>
      <c r="FF20" s="4">
        <f t="shared" si="62"/>
        <v>430</v>
      </c>
      <c r="FG20" s="11">
        <f t="shared" si="63"/>
        <v>79120000</v>
      </c>
      <c r="FH20" s="1" t="s">
        <v>1247</v>
      </c>
      <c r="FI20" s="2" t="s">
        <v>1248</v>
      </c>
      <c r="FJ20" s="24">
        <v>242880000</v>
      </c>
      <c r="FK20" s="4">
        <f t="shared" si="64"/>
        <v>264</v>
      </c>
      <c r="FL20" s="11">
        <f t="shared" si="65"/>
        <v>48576000</v>
      </c>
      <c r="FM20" s="1" t="s">
        <v>1249</v>
      </c>
      <c r="FN20" s="2" t="s">
        <v>1250</v>
      </c>
      <c r="FO20" s="11">
        <v>208840000</v>
      </c>
      <c r="FP20" s="4">
        <f t="shared" si="66"/>
        <v>227</v>
      </c>
      <c r="FQ20" s="11">
        <f t="shared" si="67"/>
        <v>41768000</v>
      </c>
      <c r="FR20" s="1" t="s">
        <v>1251</v>
      </c>
      <c r="FS20" s="2" t="s">
        <v>1252</v>
      </c>
      <c r="FT20" s="24">
        <v>281520000</v>
      </c>
      <c r="FU20" s="4">
        <f t="shared" si="68"/>
        <v>306</v>
      </c>
      <c r="FV20" s="11">
        <f t="shared" si="69"/>
        <v>56304000</v>
      </c>
      <c r="FW20" s="1" t="s">
        <v>1253</v>
      </c>
      <c r="FX20" s="2" t="s">
        <v>1254</v>
      </c>
      <c r="FY20" s="24">
        <v>220800000</v>
      </c>
      <c r="FZ20" s="4">
        <f t="shared" si="70"/>
        <v>240</v>
      </c>
      <c r="GA20" s="11">
        <f t="shared" si="71"/>
        <v>44160000</v>
      </c>
      <c r="GB20" s="1" t="s">
        <v>1255</v>
      </c>
      <c r="GC20" s="2" t="s">
        <v>1256</v>
      </c>
      <c r="GD20" s="24">
        <v>296240000</v>
      </c>
      <c r="GE20" s="4">
        <f t="shared" si="72"/>
        <v>322</v>
      </c>
      <c r="GF20" s="11">
        <f t="shared" si="73"/>
        <v>59248000</v>
      </c>
      <c r="GG20" s="9"/>
      <c r="GH20" s="6"/>
      <c r="GI20" s="7"/>
      <c r="GJ20" s="8"/>
      <c r="GK20" s="7"/>
      <c r="GL20" s="1" t="s">
        <v>1257</v>
      </c>
      <c r="GM20" s="2" t="s">
        <v>1258</v>
      </c>
      <c r="GN20" s="24">
        <v>193200000</v>
      </c>
      <c r="GO20" s="4">
        <f t="shared" si="76"/>
        <v>210</v>
      </c>
      <c r="GP20" s="11">
        <f t="shared" si="77"/>
        <v>38640000</v>
      </c>
      <c r="GQ20" s="1" t="s">
        <v>1259</v>
      </c>
      <c r="GR20" s="2" t="s">
        <v>1260</v>
      </c>
      <c r="GS20" s="24">
        <v>248400000</v>
      </c>
      <c r="GT20" s="4">
        <f t="shared" si="78"/>
        <v>270</v>
      </c>
      <c r="GU20" s="18">
        <f t="shared" si="79"/>
        <v>49680000</v>
      </c>
    </row>
    <row r="21" spans="3:203" x14ac:dyDescent="0.25">
      <c r="C21" s="4">
        <v>17</v>
      </c>
      <c r="D21" s="1" t="s">
        <v>1261</v>
      </c>
      <c r="E21" s="2" t="s">
        <v>1262</v>
      </c>
      <c r="F21" s="3">
        <v>209760000</v>
      </c>
      <c r="G21" s="4">
        <f t="shared" si="0"/>
        <v>228</v>
      </c>
      <c r="H21" s="3">
        <f t="shared" si="1"/>
        <v>41952000</v>
      </c>
      <c r="I21" s="1" t="s">
        <v>1263</v>
      </c>
      <c r="J21" s="2" t="s">
        <v>1264</v>
      </c>
      <c r="K21" s="11">
        <v>236440000</v>
      </c>
      <c r="L21" s="4">
        <f t="shared" si="2"/>
        <v>257</v>
      </c>
      <c r="M21" s="11">
        <f t="shared" si="3"/>
        <v>47288000</v>
      </c>
      <c r="N21" s="1" t="s">
        <v>1265</v>
      </c>
      <c r="O21" s="2" t="s">
        <v>218</v>
      </c>
      <c r="P21" s="13">
        <v>200560000</v>
      </c>
      <c r="Q21" s="4">
        <f t="shared" si="4"/>
        <v>218</v>
      </c>
      <c r="R21" s="11">
        <f t="shared" si="5"/>
        <v>40112000</v>
      </c>
      <c r="S21" s="1" t="s">
        <v>1266</v>
      </c>
      <c r="T21" s="2" t="s">
        <v>1267</v>
      </c>
      <c r="U21" s="14">
        <v>139840000</v>
      </c>
      <c r="V21" s="4">
        <f t="shared" si="6"/>
        <v>152</v>
      </c>
      <c r="W21" s="11">
        <f t="shared" si="7"/>
        <v>27968000</v>
      </c>
      <c r="X21" s="9"/>
      <c r="Y21" s="6"/>
      <c r="Z21" s="7"/>
      <c r="AA21" s="8"/>
      <c r="AB21" s="7"/>
      <c r="AC21" s="9"/>
      <c r="AD21" s="6"/>
      <c r="AE21" s="7"/>
      <c r="AF21" s="8"/>
      <c r="AG21" s="7"/>
      <c r="AH21" s="1" t="s">
        <v>1268</v>
      </c>
      <c r="AI21" s="2" t="s">
        <v>1269</v>
      </c>
      <c r="AJ21" s="10">
        <v>240120000</v>
      </c>
      <c r="AK21" s="4">
        <f t="shared" si="12"/>
        <v>261</v>
      </c>
      <c r="AL21" s="3">
        <f t="shared" si="13"/>
        <v>48024000</v>
      </c>
      <c r="AM21" s="1" t="s">
        <v>1270</v>
      </c>
      <c r="AN21" s="2" t="s">
        <v>1271</v>
      </c>
      <c r="AO21" s="11">
        <v>89240000</v>
      </c>
      <c r="AP21" s="4">
        <f t="shared" si="14"/>
        <v>97</v>
      </c>
      <c r="AQ21" s="11">
        <f t="shared" si="15"/>
        <v>17848000</v>
      </c>
      <c r="AR21" s="1" t="s">
        <v>1272</v>
      </c>
      <c r="AS21" s="2" t="s">
        <v>1273</v>
      </c>
      <c r="AT21" s="11">
        <v>445280000</v>
      </c>
      <c r="AU21" s="4">
        <f t="shared" si="16"/>
        <v>484</v>
      </c>
      <c r="AV21" s="11">
        <f t="shared" si="17"/>
        <v>89056000</v>
      </c>
      <c r="AW21" s="1" t="s">
        <v>1274</v>
      </c>
      <c r="AX21" s="2" t="s">
        <v>1275</v>
      </c>
      <c r="AY21" s="11">
        <v>264040000</v>
      </c>
      <c r="AZ21" s="4">
        <f t="shared" si="18"/>
        <v>287</v>
      </c>
      <c r="BA21" s="11">
        <f t="shared" si="19"/>
        <v>52808000</v>
      </c>
      <c r="BB21" s="9"/>
      <c r="BC21" s="6"/>
      <c r="BD21" s="7"/>
      <c r="BE21" s="8"/>
      <c r="BF21" s="7"/>
      <c r="BG21" s="9"/>
      <c r="BH21" s="6"/>
      <c r="BI21" s="7"/>
      <c r="BJ21" s="8"/>
      <c r="BK21" s="7"/>
      <c r="BL21" s="1" t="s">
        <v>1276</v>
      </c>
      <c r="BM21" s="2" t="s">
        <v>1277</v>
      </c>
      <c r="BN21" s="11">
        <v>203320000</v>
      </c>
      <c r="BO21" s="4">
        <f t="shared" si="24"/>
        <v>221</v>
      </c>
      <c r="BP21" s="11">
        <f t="shared" si="25"/>
        <v>40664000</v>
      </c>
      <c r="BQ21" s="1" t="s">
        <v>1278</v>
      </c>
      <c r="BR21" s="2" t="s">
        <v>1279</v>
      </c>
      <c r="BS21" s="11">
        <v>241960000</v>
      </c>
      <c r="BT21" s="4">
        <f t="shared" si="26"/>
        <v>263</v>
      </c>
      <c r="BU21" s="11">
        <f t="shared" si="27"/>
        <v>48392000</v>
      </c>
      <c r="BV21" s="9"/>
      <c r="BW21" s="6"/>
      <c r="BX21" s="7"/>
      <c r="BY21" s="8"/>
      <c r="BZ21" s="7"/>
      <c r="CA21" s="1" t="s">
        <v>1280</v>
      </c>
      <c r="CB21" s="2" t="s">
        <v>1281</v>
      </c>
      <c r="CC21" s="11">
        <v>70840000</v>
      </c>
      <c r="CD21" s="4">
        <f t="shared" si="30"/>
        <v>77</v>
      </c>
      <c r="CE21" s="11">
        <f t="shared" si="31"/>
        <v>14168000</v>
      </c>
      <c r="CF21" s="1" t="s">
        <v>1282</v>
      </c>
      <c r="CG21" s="2" t="s">
        <v>1283</v>
      </c>
      <c r="CH21" s="3">
        <v>82800000</v>
      </c>
      <c r="CI21" s="4">
        <f t="shared" si="32"/>
        <v>90</v>
      </c>
      <c r="CJ21" s="11">
        <f t="shared" si="33"/>
        <v>16560000</v>
      </c>
      <c r="CK21" s="9"/>
      <c r="CL21" s="6"/>
      <c r="CM21" s="7"/>
      <c r="CN21" s="8"/>
      <c r="CO21" s="7"/>
      <c r="CP21" s="9"/>
      <c r="CQ21" s="6"/>
      <c r="CR21" s="7"/>
      <c r="CS21" s="8"/>
      <c r="CT21" s="7"/>
      <c r="CU21" s="1" t="s">
        <v>1284</v>
      </c>
      <c r="CV21" s="2" t="s">
        <v>1285</v>
      </c>
      <c r="CW21" s="11">
        <v>728640000</v>
      </c>
      <c r="CX21" s="4">
        <f t="shared" si="38"/>
        <v>792</v>
      </c>
      <c r="CY21" s="11">
        <f t="shared" si="39"/>
        <v>145728000</v>
      </c>
      <c r="CZ21" s="1" t="s">
        <v>1286</v>
      </c>
      <c r="DA21" s="2" t="s">
        <v>1287</v>
      </c>
      <c r="DB21" s="11">
        <v>285200000</v>
      </c>
      <c r="DC21" s="4">
        <f t="shared" si="40"/>
        <v>310</v>
      </c>
      <c r="DD21" s="11">
        <f t="shared" si="41"/>
        <v>57040000</v>
      </c>
      <c r="DE21" s="88" t="s">
        <v>960</v>
      </c>
      <c r="DF21" s="89"/>
      <c r="DG21" s="31">
        <f>SUM(DG5:DG20)</f>
        <v>3543840000</v>
      </c>
      <c r="DH21" s="32">
        <f>SUM(DH5:DH20)</f>
        <v>3852</v>
      </c>
      <c r="DI21" s="31">
        <f>SUM(DI5:DI20)</f>
        <v>708768000</v>
      </c>
      <c r="DJ21" s="1" t="s">
        <v>1288</v>
      </c>
      <c r="DK21" s="2" t="s">
        <v>1289</v>
      </c>
      <c r="DL21" s="11">
        <v>257600000</v>
      </c>
      <c r="DM21" s="29">
        <f t="shared" si="44"/>
        <v>280</v>
      </c>
      <c r="DN21" s="11">
        <f t="shared" si="45"/>
        <v>51520000</v>
      </c>
      <c r="DO21" s="1" t="s">
        <v>1290</v>
      </c>
      <c r="DP21" s="2" t="s">
        <v>1291</v>
      </c>
      <c r="DQ21" s="24">
        <v>309120000</v>
      </c>
      <c r="DR21" s="4">
        <f t="shared" si="46"/>
        <v>336</v>
      </c>
      <c r="DS21" s="3">
        <f t="shared" si="47"/>
        <v>61824000</v>
      </c>
      <c r="DT21" s="9"/>
      <c r="DU21" s="6"/>
      <c r="DV21" s="25"/>
      <c r="DW21" s="8"/>
      <c r="DX21" s="7"/>
      <c r="DY21" s="1" t="s">
        <v>1292</v>
      </c>
      <c r="DZ21" s="2" t="s">
        <v>1293</v>
      </c>
      <c r="EA21" s="24">
        <v>127880000</v>
      </c>
      <c r="EB21" s="4">
        <f t="shared" si="50"/>
        <v>139</v>
      </c>
      <c r="EC21" s="11">
        <f t="shared" si="51"/>
        <v>25576000</v>
      </c>
      <c r="ED21" s="9"/>
      <c r="EE21" s="6"/>
      <c r="EF21" s="7"/>
      <c r="EG21" s="8"/>
      <c r="EH21" s="7"/>
      <c r="EI21" s="9"/>
      <c r="EJ21" s="6"/>
      <c r="EK21" s="7"/>
      <c r="EL21" s="8"/>
      <c r="EM21" s="7"/>
      <c r="EN21" s="9"/>
      <c r="EO21" s="6"/>
      <c r="EP21" s="7"/>
      <c r="EQ21" s="8"/>
      <c r="ER21" s="7"/>
      <c r="ES21" s="1" t="s">
        <v>1294</v>
      </c>
      <c r="ET21" s="2" t="s">
        <v>1295</v>
      </c>
      <c r="EU21" s="24">
        <v>283360000</v>
      </c>
      <c r="EV21" s="4">
        <f t="shared" si="58"/>
        <v>308</v>
      </c>
      <c r="EW21" s="11">
        <f t="shared" si="59"/>
        <v>56672000</v>
      </c>
      <c r="EX21" s="1" t="s">
        <v>1296</v>
      </c>
      <c r="EY21" s="2" t="s">
        <v>1297</v>
      </c>
      <c r="EZ21" s="24">
        <v>300840000</v>
      </c>
      <c r="FA21" s="4">
        <f t="shared" si="60"/>
        <v>327</v>
      </c>
      <c r="FB21" s="11">
        <f t="shared" si="61"/>
        <v>60168000</v>
      </c>
      <c r="FC21" s="1" t="s">
        <v>1298</v>
      </c>
      <c r="FD21" s="2" t="s">
        <v>1299</v>
      </c>
      <c r="FE21" s="24">
        <v>335800000</v>
      </c>
      <c r="FF21" s="4">
        <f t="shared" si="62"/>
        <v>365</v>
      </c>
      <c r="FG21" s="11">
        <f t="shared" si="63"/>
        <v>67160000</v>
      </c>
      <c r="FH21" s="1" t="s">
        <v>1300</v>
      </c>
      <c r="FI21" s="2" t="s">
        <v>1301</v>
      </c>
      <c r="FJ21" s="24">
        <v>304520000</v>
      </c>
      <c r="FK21" s="4">
        <f t="shared" si="64"/>
        <v>331</v>
      </c>
      <c r="FL21" s="11">
        <f t="shared" si="65"/>
        <v>60904000</v>
      </c>
      <c r="FM21" s="88" t="s">
        <v>960</v>
      </c>
      <c r="FN21" s="89"/>
      <c r="FO21" s="31">
        <f>SUM(FO5:FO20)</f>
        <v>3704840000</v>
      </c>
      <c r="FP21" s="32">
        <f>SUM(FP5:FP20)</f>
        <v>4027</v>
      </c>
      <c r="FQ21" s="31">
        <f>SUM(FQ5:FQ20)</f>
        <v>740968000</v>
      </c>
      <c r="FR21" s="1" t="s">
        <v>1302</v>
      </c>
      <c r="FS21" s="2" t="s">
        <v>1303</v>
      </c>
      <c r="FT21" s="24">
        <v>283360000</v>
      </c>
      <c r="FU21" s="4">
        <f t="shared" si="68"/>
        <v>308</v>
      </c>
      <c r="FV21" s="11">
        <f t="shared" si="69"/>
        <v>56672000</v>
      </c>
      <c r="FW21" s="88" t="s">
        <v>960</v>
      </c>
      <c r="FX21" s="89"/>
      <c r="FY21" s="31">
        <f>SUM(FY5:FY20)</f>
        <v>2859360000</v>
      </c>
      <c r="FZ21" s="32">
        <f>SUM(FZ5:FZ20)</f>
        <v>3108</v>
      </c>
      <c r="GA21" s="31">
        <f>SUM(GA5:GA20)</f>
        <v>571872000</v>
      </c>
      <c r="GB21" s="1" t="s">
        <v>1304</v>
      </c>
      <c r="GC21" s="2" t="s">
        <v>1305</v>
      </c>
      <c r="GD21" s="24">
        <v>243800000</v>
      </c>
      <c r="GE21" s="4">
        <f t="shared" si="72"/>
        <v>265</v>
      </c>
      <c r="GF21" s="11">
        <f t="shared" si="73"/>
        <v>48760000</v>
      </c>
      <c r="GG21" s="9"/>
      <c r="GH21" s="6"/>
      <c r="GI21" s="7"/>
      <c r="GJ21" s="8"/>
      <c r="GK21" s="7"/>
      <c r="GL21" s="1" t="s">
        <v>1306</v>
      </c>
      <c r="GM21" s="2" t="s">
        <v>1307</v>
      </c>
      <c r="GN21" s="24">
        <v>243800000</v>
      </c>
      <c r="GO21" s="4">
        <f t="shared" si="76"/>
        <v>265</v>
      </c>
      <c r="GP21" s="11">
        <f t="shared" si="77"/>
        <v>48760000</v>
      </c>
      <c r="GQ21" s="1" t="s">
        <v>1308</v>
      </c>
      <c r="GR21" s="2" t="s">
        <v>1309</v>
      </c>
      <c r="GS21" s="24">
        <v>192280000</v>
      </c>
      <c r="GT21" s="4">
        <f t="shared" si="78"/>
        <v>209</v>
      </c>
      <c r="GU21" s="18">
        <f t="shared" si="79"/>
        <v>38456000</v>
      </c>
    </row>
    <row r="22" spans="3:203" x14ac:dyDescent="0.25">
      <c r="C22" s="4">
        <v>18</v>
      </c>
      <c r="D22" s="1" t="s">
        <v>1310</v>
      </c>
      <c r="E22" s="2" t="s">
        <v>1311</v>
      </c>
      <c r="F22" s="3">
        <v>200560000</v>
      </c>
      <c r="G22" s="4">
        <f t="shared" si="0"/>
        <v>218</v>
      </c>
      <c r="H22" s="3">
        <f t="shared" si="1"/>
        <v>40112000</v>
      </c>
      <c r="I22" s="1" t="s">
        <v>1312</v>
      </c>
      <c r="J22" s="2" t="s">
        <v>1313</v>
      </c>
      <c r="K22" s="11">
        <v>240120000</v>
      </c>
      <c r="L22" s="4">
        <f t="shared" si="2"/>
        <v>261</v>
      </c>
      <c r="M22" s="11">
        <f t="shared" si="3"/>
        <v>48024000</v>
      </c>
      <c r="N22" s="1" t="s">
        <v>1314</v>
      </c>
      <c r="O22" s="2" t="s">
        <v>1315</v>
      </c>
      <c r="P22" s="13">
        <v>415840000</v>
      </c>
      <c r="Q22" s="4">
        <f t="shared" si="4"/>
        <v>452</v>
      </c>
      <c r="R22" s="11">
        <f t="shared" si="5"/>
        <v>83168000</v>
      </c>
      <c r="S22" s="1" t="s">
        <v>1316</v>
      </c>
      <c r="T22" s="2" t="s">
        <v>1317</v>
      </c>
      <c r="U22" s="14">
        <v>181240000</v>
      </c>
      <c r="V22" s="4">
        <f t="shared" si="6"/>
        <v>197</v>
      </c>
      <c r="W22" s="11">
        <f t="shared" si="7"/>
        <v>36248000</v>
      </c>
      <c r="X22" s="9"/>
      <c r="Y22" s="6"/>
      <c r="Z22" s="7"/>
      <c r="AA22" s="8"/>
      <c r="AB22" s="7"/>
      <c r="AC22" s="9"/>
      <c r="AD22" s="6"/>
      <c r="AE22" s="7"/>
      <c r="AF22" s="8"/>
      <c r="AG22" s="7"/>
      <c r="AH22" s="1" t="s">
        <v>1318</v>
      </c>
      <c r="AI22" s="2" t="s">
        <v>1319</v>
      </c>
      <c r="AJ22" s="10">
        <v>145360000</v>
      </c>
      <c r="AK22" s="4">
        <f t="shared" si="12"/>
        <v>158</v>
      </c>
      <c r="AL22" s="3">
        <f t="shared" si="13"/>
        <v>29072000</v>
      </c>
      <c r="AM22" s="1" t="s">
        <v>1320</v>
      </c>
      <c r="AN22" s="2" t="s">
        <v>1321</v>
      </c>
      <c r="AO22" s="11">
        <v>124200000</v>
      </c>
      <c r="AP22" s="4">
        <f t="shared" si="14"/>
        <v>135</v>
      </c>
      <c r="AQ22" s="11">
        <f t="shared" si="15"/>
        <v>24840000</v>
      </c>
      <c r="AR22" s="1" t="s">
        <v>1322</v>
      </c>
      <c r="AS22" s="2" t="s">
        <v>1323</v>
      </c>
      <c r="AT22" s="11">
        <v>188600000</v>
      </c>
      <c r="AU22" s="4">
        <f t="shared" si="16"/>
        <v>205</v>
      </c>
      <c r="AV22" s="11">
        <f t="shared" si="17"/>
        <v>37720000</v>
      </c>
      <c r="AW22" s="1" t="s">
        <v>1324</v>
      </c>
      <c r="AX22" s="2" t="s">
        <v>1325</v>
      </c>
      <c r="AY22" s="11">
        <v>203320000</v>
      </c>
      <c r="AZ22" s="4">
        <f t="shared" si="18"/>
        <v>221</v>
      </c>
      <c r="BA22" s="11">
        <f t="shared" si="19"/>
        <v>40664000</v>
      </c>
      <c r="BB22" s="9"/>
      <c r="BC22" s="6"/>
      <c r="BD22" s="7"/>
      <c r="BE22" s="8"/>
      <c r="BF22" s="7"/>
      <c r="BG22" s="9"/>
      <c r="BH22" s="6"/>
      <c r="BI22" s="7"/>
      <c r="BJ22" s="8"/>
      <c r="BK22" s="7"/>
      <c r="BL22" s="1" t="s">
        <v>1326</v>
      </c>
      <c r="BM22" s="2" t="s">
        <v>1327</v>
      </c>
      <c r="BN22" s="11">
        <v>74520000</v>
      </c>
      <c r="BO22" s="4">
        <f t="shared" si="24"/>
        <v>81</v>
      </c>
      <c r="BP22" s="11">
        <f t="shared" si="25"/>
        <v>14904000</v>
      </c>
      <c r="BQ22" s="1" t="s">
        <v>1328</v>
      </c>
      <c r="BR22" s="2" t="s">
        <v>1329</v>
      </c>
      <c r="BS22" s="11">
        <v>172960000</v>
      </c>
      <c r="BT22" s="4">
        <f t="shared" si="26"/>
        <v>188</v>
      </c>
      <c r="BU22" s="11">
        <f t="shared" si="27"/>
        <v>34592000</v>
      </c>
      <c r="BV22" s="9"/>
      <c r="BW22" s="6"/>
      <c r="BX22" s="7"/>
      <c r="BY22" s="8"/>
      <c r="BZ22" s="7"/>
      <c r="CA22" s="1" t="s">
        <v>1330</v>
      </c>
      <c r="CB22" s="2" t="s">
        <v>1331</v>
      </c>
      <c r="CC22" s="11">
        <v>210680000</v>
      </c>
      <c r="CD22" s="4">
        <f t="shared" si="30"/>
        <v>229</v>
      </c>
      <c r="CE22" s="11">
        <f t="shared" si="31"/>
        <v>42136000</v>
      </c>
      <c r="CF22" s="1" t="s">
        <v>1332</v>
      </c>
      <c r="CG22" s="2" t="s">
        <v>1333</v>
      </c>
      <c r="CH22" s="3">
        <v>128800000</v>
      </c>
      <c r="CI22" s="4">
        <f t="shared" si="32"/>
        <v>140</v>
      </c>
      <c r="CJ22" s="11">
        <f t="shared" si="33"/>
        <v>25760000</v>
      </c>
      <c r="CK22" s="9"/>
      <c r="CL22" s="6"/>
      <c r="CM22" s="7"/>
      <c r="CN22" s="8"/>
      <c r="CO22" s="7"/>
      <c r="CP22" s="9"/>
      <c r="CQ22" s="6"/>
      <c r="CR22" s="7"/>
      <c r="CS22" s="8"/>
      <c r="CT22" s="7"/>
      <c r="CU22" s="1" t="s">
        <v>1334</v>
      </c>
      <c r="CV22" s="2" t="s">
        <v>1335</v>
      </c>
      <c r="CW22" s="11">
        <v>172960000</v>
      </c>
      <c r="CX22" s="4">
        <f t="shared" si="38"/>
        <v>188</v>
      </c>
      <c r="CY22" s="11">
        <f t="shared" si="39"/>
        <v>34592000</v>
      </c>
      <c r="CZ22" s="1" t="s">
        <v>1336</v>
      </c>
      <c r="DA22" s="2" t="s">
        <v>1337</v>
      </c>
      <c r="DB22" s="11">
        <v>178480000</v>
      </c>
      <c r="DC22" s="4">
        <f t="shared" si="40"/>
        <v>194</v>
      </c>
      <c r="DD22" s="11">
        <f t="shared" si="41"/>
        <v>35696000</v>
      </c>
      <c r="DE22" s="9"/>
      <c r="DF22" s="6"/>
      <c r="DG22" s="7"/>
      <c r="DH22" s="8"/>
      <c r="DI22" s="7"/>
      <c r="DJ22" s="1" t="s">
        <v>1338</v>
      </c>
      <c r="DK22" s="2" t="s">
        <v>1339</v>
      </c>
      <c r="DL22" s="11">
        <v>244720000</v>
      </c>
      <c r="DM22" s="29">
        <f t="shared" si="44"/>
        <v>266</v>
      </c>
      <c r="DN22" s="11">
        <f t="shared" si="45"/>
        <v>48944000</v>
      </c>
      <c r="DO22" s="21" t="s">
        <v>1340</v>
      </c>
      <c r="DP22" s="22" t="s">
        <v>1341</v>
      </c>
      <c r="DQ22" s="24">
        <v>86480000</v>
      </c>
      <c r="DR22" s="23">
        <f t="shared" si="46"/>
        <v>94</v>
      </c>
      <c r="DS22" s="3">
        <f t="shared" si="47"/>
        <v>17296000</v>
      </c>
      <c r="DT22" s="9"/>
      <c r="DU22" s="6"/>
      <c r="DV22" s="25"/>
      <c r="DW22" s="8"/>
      <c r="DX22" s="7"/>
      <c r="DY22" s="1" t="s">
        <v>1342</v>
      </c>
      <c r="DZ22" s="2" t="s">
        <v>1343</v>
      </c>
      <c r="EA22" s="24">
        <v>187680000</v>
      </c>
      <c r="EB22" s="4">
        <f t="shared" si="50"/>
        <v>204</v>
      </c>
      <c r="EC22" s="11">
        <f t="shared" si="51"/>
        <v>37536000</v>
      </c>
      <c r="ED22" s="9"/>
      <c r="EE22" s="6"/>
      <c r="EF22" s="7"/>
      <c r="EG22" s="8"/>
      <c r="EH22" s="7"/>
      <c r="EI22" s="9"/>
      <c r="EJ22" s="6"/>
      <c r="EK22" s="7"/>
      <c r="EL22" s="8"/>
      <c r="EM22" s="7"/>
      <c r="EN22" s="9"/>
      <c r="EO22" s="6"/>
      <c r="EP22" s="7"/>
      <c r="EQ22" s="8"/>
      <c r="ER22" s="7"/>
      <c r="ES22" s="1" t="s">
        <v>1344</v>
      </c>
      <c r="ET22" s="2" t="s">
        <v>1345</v>
      </c>
      <c r="EU22" s="24">
        <v>434240000</v>
      </c>
      <c r="EV22" s="4">
        <f t="shared" si="58"/>
        <v>472</v>
      </c>
      <c r="EW22" s="11">
        <f t="shared" si="59"/>
        <v>86848000</v>
      </c>
      <c r="EX22" s="1" t="s">
        <v>1346</v>
      </c>
      <c r="EY22" s="2" t="s">
        <v>1347</v>
      </c>
      <c r="EZ22" s="24">
        <v>128800000</v>
      </c>
      <c r="FA22" s="4">
        <f t="shared" si="60"/>
        <v>140</v>
      </c>
      <c r="FB22" s="11">
        <f t="shared" si="61"/>
        <v>25760000</v>
      </c>
      <c r="FC22" s="88" t="s">
        <v>960</v>
      </c>
      <c r="FD22" s="89"/>
      <c r="FE22" s="31">
        <f>SUM(FE5:FE21)</f>
        <v>3592600000</v>
      </c>
      <c r="FF22" s="35">
        <f>SUM(FF5:FF21)</f>
        <v>3905</v>
      </c>
      <c r="FG22" s="31">
        <f>SUM(FG5:FG21)</f>
        <v>718520000</v>
      </c>
      <c r="FH22" s="1" t="s">
        <v>1348</v>
      </c>
      <c r="FI22" s="2" t="s">
        <v>1349</v>
      </c>
      <c r="FJ22" s="24">
        <v>265880000</v>
      </c>
      <c r="FK22" s="4">
        <f t="shared" si="64"/>
        <v>289</v>
      </c>
      <c r="FL22" s="11">
        <f t="shared" si="65"/>
        <v>53176000</v>
      </c>
      <c r="FM22" s="9"/>
      <c r="FN22" s="6"/>
      <c r="FO22" s="7"/>
      <c r="FP22" s="8"/>
      <c r="FQ22" s="7"/>
      <c r="FR22" s="1" t="s">
        <v>1350</v>
      </c>
      <c r="FS22" s="2" t="s">
        <v>1351</v>
      </c>
      <c r="FT22" s="24">
        <v>123280000</v>
      </c>
      <c r="FU22" s="4">
        <f t="shared" si="68"/>
        <v>134</v>
      </c>
      <c r="FV22" s="11">
        <f t="shared" si="69"/>
        <v>24656000</v>
      </c>
      <c r="FW22" s="9"/>
      <c r="FX22" s="6"/>
      <c r="FY22" s="7"/>
      <c r="FZ22" s="8"/>
      <c r="GA22" s="7"/>
      <c r="GB22" s="1" t="s">
        <v>1352</v>
      </c>
      <c r="GC22" s="2" t="s">
        <v>1353</v>
      </c>
      <c r="GD22" s="24">
        <v>242880000</v>
      </c>
      <c r="GE22" s="4">
        <f t="shared" si="72"/>
        <v>264</v>
      </c>
      <c r="GF22" s="11">
        <f t="shared" si="73"/>
        <v>48576000</v>
      </c>
      <c r="GG22" s="9"/>
      <c r="GH22" s="6"/>
      <c r="GI22" s="7"/>
      <c r="GJ22" s="8"/>
      <c r="GK22" s="7"/>
      <c r="GL22" s="1" t="s">
        <v>1354</v>
      </c>
      <c r="GM22" s="2" t="s">
        <v>1355</v>
      </c>
      <c r="GN22" s="24">
        <v>121440000</v>
      </c>
      <c r="GO22" s="4">
        <f t="shared" si="76"/>
        <v>132</v>
      </c>
      <c r="GP22" s="11">
        <f t="shared" si="77"/>
        <v>24288000</v>
      </c>
      <c r="GQ22" s="88" t="s">
        <v>960</v>
      </c>
      <c r="GR22" s="89"/>
      <c r="GS22" s="31">
        <f>SUM(GS5:GS21)</f>
        <v>5246760000</v>
      </c>
      <c r="GT22" s="32">
        <f>SUM(GT5:GT21)</f>
        <v>5703</v>
      </c>
      <c r="GU22" s="31">
        <f>SUM(GU5:GU21)</f>
        <v>1049352000</v>
      </c>
    </row>
    <row r="23" spans="3:203" x14ac:dyDescent="0.25">
      <c r="C23" s="4">
        <v>19</v>
      </c>
      <c r="D23" s="1" t="s">
        <v>1356</v>
      </c>
      <c r="E23" s="2" t="s">
        <v>1357</v>
      </c>
      <c r="F23" s="3">
        <v>317400000</v>
      </c>
      <c r="G23" s="4">
        <f t="shared" si="0"/>
        <v>345</v>
      </c>
      <c r="H23" s="3">
        <f t="shared" si="1"/>
        <v>63480000</v>
      </c>
      <c r="I23" s="1" t="s">
        <v>1358</v>
      </c>
      <c r="J23" s="2" t="s">
        <v>1359</v>
      </c>
      <c r="K23" s="11">
        <v>170200000</v>
      </c>
      <c r="L23" s="4">
        <f t="shared" si="2"/>
        <v>185</v>
      </c>
      <c r="M23" s="11">
        <f t="shared" si="3"/>
        <v>34040000</v>
      </c>
      <c r="N23" s="1" t="s">
        <v>1360</v>
      </c>
      <c r="O23" s="2" t="s">
        <v>1361</v>
      </c>
      <c r="P23" s="13">
        <v>331200000</v>
      </c>
      <c r="Q23" s="4">
        <f t="shared" si="4"/>
        <v>360</v>
      </c>
      <c r="R23" s="11">
        <f t="shared" si="5"/>
        <v>66240000</v>
      </c>
      <c r="S23" s="88" t="s">
        <v>960</v>
      </c>
      <c r="T23" s="89"/>
      <c r="U23" s="31">
        <f>SUM(U5:U22)</f>
        <v>3969800000</v>
      </c>
      <c r="V23" s="32">
        <f>SUM(V5:V22)</f>
        <v>4315</v>
      </c>
      <c r="W23" s="31">
        <f>SUM(W5:W22)</f>
        <v>793960000</v>
      </c>
      <c r="X23" s="9"/>
      <c r="Y23" s="6"/>
      <c r="Z23" s="7"/>
      <c r="AA23" s="8"/>
      <c r="AB23" s="7"/>
      <c r="AC23" s="9"/>
      <c r="AD23" s="6"/>
      <c r="AE23" s="7"/>
      <c r="AF23" s="8"/>
      <c r="AG23" s="7"/>
      <c r="AH23" s="1" t="s">
        <v>1362</v>
      </c>
      <c r="AI23" s="2" t="s">
        <v>1363</v>
      </c>
      <c r="AJ23" s="10">
        <v>200560000</v>
      </c>
      <c r="AK23" s="4">
        <f t="shared" si="12"/>
        <v>218</v>
      </c>
      <c r="AL23" s="3">
        <f t="shared" si="13"/>
        <v>40112000</v>
      </c>
      <c r="AM23" s="1" t="s">
        <v>1364</v>
      </c>
      <c r="AN23" s="2" t="s">
        <v>1365</v>
      </c>
      <c r="AO23" s="11">
        <v>56120000</v>
      </c>
      <c r="AP23" s="4">
        <f t="shared" si="14"/>
        <v>61</v>
      </c>
      <c r="AQ23" s="11">
        <f t="shared" si="15"/>
        <v>11224000</v>
      </c>
      <c r="AR23" s="1" t="s">
        <v>1366</v>
      </c>
      <c r="AS23" s="2" t="s">
        <v>1367</v>
      </c>
      <c r="AT23" s="11">
        <v>388240000</v>
      </c>
      <c r="AU23" s="4">
        <f t="shared" si="16"/>
        <v>422</v>
      </c>
      <c r="AV23" s="11">
        <f t="shared" si="17"/>
        <v>77648000</v>
      </c>
      <c r="AW23" s="1" t="s">
        <v>1368</v>
      </c>
      <c r="AX23" s="2" t="s">
        <v>1369</v>
      </c>
      <c r="AY23" s="11">
        <v>92920000</v>
      </c>
      <c r="AZ23" s="4">
        <f t="shared" si="18"/>
        <v>101</v>
      </c>
      <c r="BA23" s="11">
        <f t="shared" si="19"/>
        <v>18584000</v>
      </c>
      <c r="BB23" s="9"/>
      <c r="BC23" s="6"/>
      <c r="BD23" s="7"/>
      <c r="BE23" s="8"/>
      <c r="BF23" s="7"/>
      <c r="BG23" s="9"/>
      <c r="BH23" s="6"/>
      <c r="BI23" s="7"/>
      <c r="BJ23" s="8"/>
      <c r="BK23" s="7"/>
      <c r="BL23" s="1" t="s">
        <v>1370</v>
      </c>
      <c r="BM23" s="2" t="s">
        <v>1371</v>
      </c>
      <c r="BN23" s="11">
        <v>90160000</v>
      </c>
      <c r="BO23" s="4">
        <f t="shared" si="24"/>
        <v>98</v>
      </c>
      <c r="BP23" s="11">
        <f t="shared" si="25"/>
        <v>18032000</v>
      </c>
      <c r="BQ23" s="1" t="s">
        <v>1372</v>
      </c>
      <c r="BR23" s="2" t="s">
        <v>1373</v>
      </c>
      <c r="BS23" s="11">
        <v>137080000</v>
      </c>
      <c r="BT23" s="4">
        <f t="shared" si="26"/>
        <v>149</v>
      </c>
      <c r="BU23" s="11">
        <f t="shared" si="27"/>
        <v>27416000</v>
      </c>
      <c r="BV23" s="9"/>
      <c r="BW23" s="6"/>
      <c r="BX23" s="7"/>
      <c r="BY23" s="8"/>
      <c r="BZ23" s="7"/>
      <c r="CA23" s="1" t="s">
        <v>1374</v>
      </c>
      <c r="CB23" s="2" t="s">
        <v>1375</v>
      </c>
      <c r="CC23" s="11">
        <v>225400000</v>
      </c>
      <c r="CD23" s="4">
        <f t="shared" si="30"/>
        <v>245</v>
      </c>
      <c r="CE23" s="11">
        <f t="shared" si="31"/>
        <v>45080000</v>
      </c>
      <c r="CF23" s="88" t="s">
        <v>960</v>
      </c>
      <c r="CG23" s="89"/>
      <c r="CH23" s="31">
        <f>SUM(CH5:CH22)</f>
        <v>2944920000</v>
      </c>
      <c r="CI23" s="32">
        <f>SUM(CI5:CI22)</f>
        <v>3201</v>
      </c>
      <c r="CJ23" s="31">
        <f>SUM(CJ5:CJ22)</f>
        <v>588984000</v>
      </c>
      <c r="CK23" s="9"/>
      <c r="CL23" s="6"/>
      <c r="CM23" s="7"/>
      <c r="CN23" s="8"/>
      <c r="CO23" s="7"/>
      <c r="CP23" s="9"/>
      <c r="CQ23" s="6"/>
      <c r="CR23" s="7"/>
      <c r="CS23" s="8"/>
      <c r="CT23" s="7"/>
      <c r="CU23" s="1" t="s">
        <v>1376</v>
      </c>
      <c r="CV23" s="2" t="s">
        <v>1377</v>
      </c>
      <c r="CW23" s="11">
        <v>220800000</v>
      </c>
      <c r="CX23" s="4">
        <f t="shared" si="38"/>
        <v>240</v>
      </c>
      <c r="CY23" s="11">
        <f t="shared" si="39"/>
        <v>44160000</v>
      </c>
      <c r="CZ23" s="1" t="s">
        <v>1378</v>
      </c>
      <c r="DA23" s="2" t="s">
        <v>1379</v>
      </c>
      <c r="DB23" s="11">
        <v>367080000</v>
      </c>
      <c r="DC23" s="4">
        <f t="shared" si="40"/>
        <v>399</v>
      </c>
      <c r="DD23" s="11">
        <f t="shared" si="41"/>
        <v>73416000</v>
      </c>
      <c r="DE23" s="9"/>
      <c r="DF23" s="6"/>
      <c r="DG23" s="7"/>
      <c r="DH23" s="8"/>
      <c r="DI23" s="7"/>
      <c r="DJ23" s="1" t="s">
        <v>1380</v>
      </c>
      <c r="DK23" s="2" t="s">
        <v>1381</v>
      </c>
      <c r="DL23" s="11">
        <v>320160000</v>
      </c>
      <c r="DM23" s="29">
        <f t="shared" si="44"/>
        <v>348</v>
      </c>
      <c r="DN23" s="15">
        <f t="shared" si="45"/>
        <v>64032000</v>
      </c>
      <c r="DO23" s="1" t="s">
        <v>1382</v>
      </c>
      <c r="DP23" s="2" t="s">
        <v>1383</v>
      </c>
      <c r="DQ23" s="24">
        <v>260360000</v>
      </c>
      <c r="DR23" s="4">
        <f t="shared" si="46"/>
        <v>283</v>
      </c>
      <c r="DS23" s="3">
        <f t="shared" si="47"/>
        <v>52072000</v>
      </c>
      <c r="DT23" s="9"/>
      <c r="DU23" s="6"/>
      <c r="DV23" s="25"/>
      <c r="DW23" s="8"/>
      <c r="DX23" s="7"/>
      <c r="DY23" s="1" t="s">
        <v>1384</v>
      </c>
      <c r="DZ23" s="2" t="s">
        <v>1385</v>
      </c>
      <c r="EA23" s="24">
        <v>281520000</v>
      </c>
      <c r="EB23" s="4">
        <f t="shared" si="50"/>
        <v>306</v>
      </c>
      <c r="EC23" s="11">
        <f t="shared" si="51"/>
        <v>56304000</v>
      </c>
      <c r="ED23" s="9"/>
      <c r="EE23" s="6"/>
      <c r="EF23" s="7"/>
      <c r="EG23" s="8"/>
      <c r="EH23" s="7"/>
      <c r="EI23" s="9"/>
      <c r="EJ23" s="6"/>
      <c r="EK23" s="7"/>
      <c r="EL23" s="8"/>
      <c r="EM23" s="7"/>
      <c r="EN23" s="9"/>
      <c r="EO23" s="6"/>
      <c r="EP23" s="7"/>
      <c r="EQ23" s="8"/>
      <c r="ER23" s="7"/>
      <c r="ES23" s="88" t="s">
        <v>960</v>
      </c>
      <c r="ET23" s="89"/>
      <c r="EU23" s="31">
        <f>SUM(EU5:EU22)</f>
        <v>4855760000</v>
      </c>
      <c r="EV23" s="32">
        <f>SUM(EV5:EV22)</f>
        <v>5278</v>
      </c>
      <c r="EW23" s="31">
        <f>SUM(EW5:EW22)</f>
        <v>971152000</v>
      </c>
      <c r="EX23" s="1" t="s">
        <v>1386</v>
      </c>
      <c r="EY23" s="2" t="s">
        <v>1387</v>
      </c>
      <c r="EZ23" s="24">
        <v>126040000</v>
      </c>
      <c r="FA23" s="4">
        <f t="shared" si="60"/>
        <v>137</v>
      </c>
      <c r="FB23" s="11">
        <f t="shared" si="61"/>
        <v>25208000</v>
      </c>
      <c r="FC23" s="9"/>
      <c r="FD23" s="6"/>
      <c r="FE23" s="7"/>
      <c r="FF23" s="8"/>
      <c r="FG23" s="7"/>
      <c r="FH23" s="1" t="s">
        <v>1388</v>
      </c>
      <c r="FI23" s="2" t="s">
        <v>1389</v>
      </c>
      <c r="FJ23" s="24">
        <v>314640000</v>
      </c>
      <c r="FK23" s="4">
        <f t="shared" si="64"/>
        <v>342</v>
      </c>
      <c r="FL23" s="11">
        <f t="shared" si="65"/>
        <v>62928000</v>
      </c>
      <c r="FM23" s="9"/>
      <c r="FN23" s="6"/>
      <c r="FO23" s="7"/>
      <c r="FP23" s="8"/>
      <c r="FQ23" s="7"/>
      <c r="FR23" s="1" t="s">
        <v>1390</v>
      </c>
      <c r="FS23" s="2" t="s">
        <v>1391</v>
      </c>
      <c r="FT23" s="24">
        <v>226320000</v>
      </c>
      <c r="FU23" s="4">
        <f t="shared" si="68"/>
        <v>246</v>
      </c>
      <c r="FV23" s="11">
        <f t="shared" si="69"/>
        <v>45264000</v>
      </c>
      <c r="FW23" s="9"/>
      <c r="FX23" s="6"/>
      <c r="FY23" s="7"/>
      <c r="FZ23" s="8"/>
      <c r="GA23" s="7"/>
      <c r="GB23" s="1" t="s">
        <v>1392</v>
      </c>
      <c r="GC23" s="2" t="s">
        <v>1393</v>
      </c>
      <c r="GD23" s="24">
        <v>175720000</v>
      </c>
      <c r="GE23" s="4">
        <f t="shared" si="72"/>
        <v>191</v>
      </c>
      <c r="GF23" s="11">
        <f t="shared" si="73"/>
        <v>35144000</v>
      </c>
      <c r="GG23" s="9"/>
      <c r="GH23" s="6"/>
      <c r="GI23" s="7"/>
      <c r="GJ23" s="8"/>
      <c r="GK23" s="7"/>
      <c r="GL23" s="1" t="s">
        <v>1394</v>
      </c>
      <c r="GM23" s="2" t="s">
        <v>1395</v>
      </c>
      <c r="GN23" s="24">
        <v>192280000</v>
      </c>
      <c r="GO23" s="4">
        <f t="shared" si="76"/>
        <v>209</v>
      </c>
      <c r="GP23" s="11">
        <f t="shared" si="77"/>
        <v>38456000</v>
      </c>
      <c r="GQ23" s="9"/>
      <c r="GR23" s="6"/>
      <c r="GS23" s="7"/>
      <c r="GT23" s="8"/>
      <c r="GU23" s="7"/>
    </row>
    <row r="24" spans="3:203" x14ac:dyDescent="0.25">
      <c r="C24" s="4">
        <v>20</v>
      </c>
      <c r="D24" s="1" t="s">
        <v>1396</v>
      </c>
      <c r="E24" s="2" t="s">
        <v>1397</v>
      </c>
      <c r="F24" s="3">
        <v>92920000</v>
      </c>
      <c r="G24" s="4">
        <f t="shared" si="0"/>
        <v>101</v>
      </c>
      <c r="H24" s="3">
        <f t="shared" si="1"/>
        <v>18584000</v>
      </c>
      <c r="I24" s="1" t="s">
        <v>1398</v>
      </c>
      <c r="J24" s="2" t="s">
        <v>1399</v>
      </c>
      <c r="K24" s="11">
        <v>109480000</v>
      </c>
      <c r="L24" s="4">
        <f t="shared" si="2"/>
        <v>119</v>
      </c>
      <c r="M24" s="11">
        <f t="shared" si="3"/>
        <v>21896000</v>
      </c>
      <c r="N24" s="1" t="s">
        <v>1400</v>
      </c>
      <c r="O24" s="2" t="s">
        <v>1401</v>
      </c>
      <c r="P24" s="13">
        <v>361560000</v>
      </c>
      <c r="Q24" s="4">
        <f t="shared" si="4"/>
        <v>393</v>
      </c>
      <c r="R24" s="11">
        <f t="shared" si="5"/>
        <v>72312000</v>
      </c>
      <c r="S24" s="9"/>
      <c r="T24" s="6"/>
      <c r="U24" s="7"/>
      <c r="V24" s="8"/>
      <c r="W24" s="7"/>
      <c r="X24" s="9"/>
      <c r="Y24" s="6"/>
      <c r="Z24" s="7"/>
      <c r="AA24" s="8"/>
      <c r="AB24" s="7"/>
      <c r="AC24" s="9"/>
      <c r="AD24" s="6"/>
      <c r="AE24" s="7"/>
      <c r="AF24" s="8"/>
      <c r="AG24" s="7"/>
      <c r="AH24" s="1" t="s">
        <v>1402</v>
      </c>
      <c r="AI24" s="2" t="s">
        <v>1403</v>
      </c>
      <c r="AJ24" s="10">
        <v>293480000</v>
      </c>
      <c r="AK24" s="4">
        <f t="shared" si="12"/>
        <v>319</v>
      </c>
      <c r="AL24" s="3">
        <f t="shared" si="13"/>
        <v>58696000</v>
      </c>
      <c r="AM24" s="1" t="s">
        <v>1404</v>
      </c>
      <c r="AN24" s="2" t="s">
        <v>1405</v>
      </c>
      <c r="AO24" s="11">
        <v>119600000</v>
      </c>
      <c r="AP24" s="4">
        <f t="shared" si="14"/>
        <v>130</v>
      </c>
      <c r="AQ24" s="11">
        <f t="shared" si="15"/>
        <v>23920000</v>
      </c>
      <c r="AR24" s="88" t="s">
        <v>960</v>
      </c>
      <c r="AS24" s="89"/>
      <c r="AT24" s="31">
        <f>SUM(AT5:AT23)</f>
        <v>5060000000</v>
      </c>
      <c r="AU24" s="32">
        <f>SUM(AU5:AU23)</f>
        <v>5500</v>
      </c>
      <c r="AV24" s="31">
        <f>SUM(AV5:AV23)</f>
        <v>1012000000</v>
      </c>
      <c r="AW24" s="1" t="s">
        <v>1406</v>
      </c>
      <c r="AX24" s="2" t="s">
        <v>1407</v>
      </c>
      <c r="AY24" s="11">
        <v>99360000</v>
      </c>
      <c r="AZ24" s="5">
        <f t="shared" si="18"/>
        <v>108</v>
      </c>
      <c r="BA24" s="11">
        <f t="shared" si="19"/>
        <v>19872000</v>
      </c>
      <c r="BB24" s="9"/>
      <c r="BC24" s="6"/>
      <c r="BD24" s="7"/>
      <c r="BE24" s="8"/>
      <c r="BF24" s="7"/>
      <c r="BG24" s="9"/>
      <c r="BH24" s="6"/>
      <c r="BI24" s="7"/>
      <c r="BJ24" s="8"/>
      <c r="BK24" s="7"/>
      <c r="BL24" s="1" t="s">
        <v>1408</v>
      </c>
      <c r="BM24" s="2" t="s">
        <v>1409</v>
      </c>
      <c r="BN24" s="11">
        <v>282440000</v>
      </c>
      <c r="BO24" s="4">
        <f t="shared" si="24"/>
        <v>307</v>
      </c>
      <c r="BP24" s="11">
        <f t="shared" si="25"/>
        <v>56488000</v>
      </c>
      <c r="BQ24" s="88" t="s">
        <v>960</v>
      </c>
      <c r="BR24" s="89"/>
      <c r="BS24" s="31">
        <f>SUM(BS5:BS23)</f>
        <v>2983560000</v>
      </c>
      <c r="BT24" s="32">
        <f>SUM(BT5:BT23)</f>
        <v>3243</v>
      </c>
      <c r="BU24" s="31">
        <f>SUM(BU5:BU23)</f>
        <v>596712000</v>
      </c>
      <c r="BV24" s="9"/>
      <c r="BW24" s="6"/>
      <c r="BX24" s="7"/>
      <c r="BY24" s="8"/>
      <c r="BZ24" s="7"/>
      <c r="CA24" s="88" t="s">
        <v>960</v>
      </c>
      <c r="CB24" s="89"/>
      <c r="CC24" s="31">
        <f>SUM(CC5:CC23)</f>
        <v>4890720000</v>
      </c>
      <c r="CD24" s="32">
        <f>SUM(CD5:CD23)</f>
        <v>5316</v>
      </c>
      <c r="CE24" s="31">
        <f>SUM(CE5:CE23)</f>
        <v>978144000</v>
      </c>
      <c r="CF24" s="9"/>
      <c r="CG24" s="6"/>
      <c r="CH24" s="7"/>
      <c r="CI24" s="8"/>
      <c r="CJ24" s="7"/>
      <c r="CK24" s="9"/>
      <c r="CL24" s="6"/>
      <c r="CM24" s="7"/>
      <c r="CN24" s="8"/>
      <c r="CO24" s="7"/>
      <c r="CP24" s="9"/>
      <c r="CQ24" s="6"/>
      <c r="CR24" s="7"/>
      <c r="CS24" s="8"/>
      <c r="CT24" s="7"/>
      <c r="CU24" s="1" t="s">
        <v>1410</v>
      </c>
      <c r="CV24" s="2" t="s">
        <v>1411</v>
      </c>
      <c r="CW24" s="11">
        <v>265880000</v>
      </c>
      <c r="CX24" s="4">
        <f t="shared" si="38"/>
        <v>289</v>
      </c>
      <c r="CY24" s="11">
        <f t="shared" si="39"/>
        <v>53176000</v>
      </c>
      <c r="CZ24" s="1" t="s">
        <v>1412</v>
      </c>
      <c r="DA24" s="2" t="s">
        <v>1413</v>
      </c>
      <c r="DB24" s="11">
        <v>200560000</v>
      </c>
      <c r="DC24" s="4">
        <f t="shared" si="40"/>
        <v>218</v>
      </c>
      <c r="DD24" s="11">
        <f t="shared" si="41"/>
        <v>40112000</v>
      </c>
      <c r="DE24" s="9"/>
      <c r="DF24" s="6"/>
      <c r="DG24" s="7"/>
      <c r="DH24" s="8"/>
      <c r="DI24" s="7"/>
      <c r="DJ24" s="88" t="s">
        <v>960</v>
      </c>
      <c r="DK24" s="89"/>
      <c r="DL24" s="31">
        <f>SUM(DL5:DL23)</f>
        <v>5219160000</v>
      </c>
      <c r="DM24" s="32">
        <f>SUM(DM5:DM23)</f>
        <v>5673</v>
      </c>
      <c r="DN24" s="31">
        <f>SUM(DN5:DN23)</f>
        <v>1043832000</v>
      </c>
      <c r="DO24" s="88" t="s">
        <v>960</v>
      </c>
      <c r="DP24" s="89"/>
      <c r="DQ24" s="31">
        <f>SUM(DQ5:DQ23)</f>
        <v>4261440000</v>
      </c>
      <c r="DR24" s="32">
        <f>SUM(DR5:DR23)</f>
        <v>4632</v>
      </c>
      <c r="DS24" s="31">
        <f>SUM(DS5:DS23)</f>
        <v>852288000</v>
      </c>
      <c r="DT24" s="9"/>
      <c r="DU24" s="6"/>
      <c r="DV24" s="25"/>
      <c r="DW24" s="8"/>
      <c r="DX24" s="7"/>
      <c r="DY24" s="1" t="s">
        <v>1414</v>
      </c>
      <c r="DZ24" s="2" t="s">
        <v>1415</v>
      </c>
      <c r="EA24" s="24">
        <v>109480000</v>
      </c>
      <c r="EB24" s="4">
        <f t="shared" si="50"/>
        <v>119</v>
      </c>
      <c r="EC24" s="11">
        <f t="shared" si="51"/>
        <v>21896000</v>
      </c>
      <c r="ED24" s="9"/>
      <c r="EE24" s="6"/>
      <c r="EF24" s="7"/>
      <c r="EG24" s="8"/>
      <c r="EH24" s="7"/>
      <c r="EI24" s="9"/>
      <c r="EJ24" s="6"/>
      <c r="EK24" s="7"/>
      <c r="EL24" s="8"/>
      <c r="EM24" s="7"/>
      <c r="EN24" s="9"/>
      <c r="EO24" s="6"/>
      <c r="EP24" s="7"/>
      <c r="EQ24" s="8"/>
      <c r="ER24" s="7"/>
      <c r="ES24" s="9"/>
      <c r="ET24" s="6"/>
      <c r="EU24" s="7"/>
      <c r="EV24" s="8"/>
      <c r="EW24" s="7"/>
      <c r="EX24" s="1" t="s">
        <v>1416</v>
      </c>
      <c r="EY24" s="2" t="s">
        <v>1417</v>
      </c>
      <c r="EZ24" s="24">
        <v>247480000</v>
      </c>
      <c r="FA24" s="4">
        <f t="shared" si="60"/>
        <v>269</v>
      </c>
      <c r="FB24" s="11">
        <f t="shared" si="61"/>
        <v>49496000</v>
      </c>
      <c r="FC24" s="9"/>
      <c r="FD24" s="6"/>
      <c r="FE24" s="7"/>
      <c r="FF24" s="8"/>
      <c r="FG24" s="7"/>
      <c r="FH24" s="1" t="s">
        <v>1418</v>
      </c>
      <c r="FI24" s="2" t="s">
        <v>1419</v>
      </c>
      <c r="FJ24" s="24">
        <v>142600000</v>
      </c>
      <c r="FK24" s="4">
        <f t="shared" si="64"/>
        <v>155</v>
      </c>
      <c r="FL24" s="11">
        <f t="shared" si="65"/>
        <v>28520000</v>
      </c>
      <c r="FM24" s="9"/>
      <c r="FN24" s="6"/>
      <c r="FO24" s="7"/>
      <c r="FP24" s="8"/>
      <c r="FQ24" s="7"/>
      <c r="FR24" s="1" t="s">
        <v>1420</v>
      </c>
      <c r="FS24" s="2" t="s">
        <v>1421</v>
      </c>
      <c r="FT24" s="24">
        <v>161920000</v>
      </c>
      <c r="FU24" s="4">
        <f t="shared" si="68"/>
        <v>176</v>
      </c>
      <c r="FV24" s="11">
        <f t="shared" si="69"/>
        <v>32384000</v>
      </c>
      <c r="FW24" s="9"/>
      <c r="FX24" s="6"/>
      <c r="FY24" s="7"/>
      <c r="FZ24" s="8"/>
      <c r="GA24" s="7"/>
      <c r="GB24" s="1" t="s">
        <v>1422</v>
      </c>
      <c r="GC24" s="2" t="s">
        <v>1423</v>
      </c>
      <c r="GD24" s="24">
        <v>160080000</v>
      </c>
      <c r="GE24" s="4">
        <f t="shared" si="72"/>
        <v>174</v>
      </c>
      <c r="GF24" s="11">
        <f t="shared" si="73"/>
        <v>32016000</v>
      </c>
      <c r="GG24" s="9"/>
      <c r="GH24" s="6"/>
      <c r="GI24" s="7"/>
      <c r="GJ24" s="8"/>
      <c r="GK24" s="7"/>
      <c r="GL24" s="88" t="s">
        <v>960</v>
      </c>
      <c r="GM24" s="89"/>
      <c r="GN24" s="31">
        <f>SUM(GN5:GN23)</f>
        <v>4527320000</v>
      </c>
      <c r="GO24" s="32">
        <f>SUM(GO5:GO23)</f>
        <v>4921</v>
      </c>
      <c r="GP24" s="31">
        <f>SUM(GP5:GP23)</f>
        <v>905464000</v>
      </c>
      <c r="GQ24" s="9"/>
      <c r="GR24" s="6"/>
      <c r="GS24" s="7"/>
      <c r="GT24" s="8"/>
      <c r="GU24" s="7"/>
    </row>
    <row r="25" spans="3:203" x14ac:dyDescent="0.25">
      <c r="C25" s="4">
        <v>21</v>
      </c>
      <c r="D25" s="1" t="s">
        <v>1424</v>
      </c>
      <c r="E25" s="2" t="s">
        <v>1425</v>
      </c>
      <c r="F25" s="3">
        <v>198720000</v>
      </c>
      <c r="G25" s="4">
        <f t="shared" si="0"/>
        <v>216</v>
      </c>
      <c r="H25" s="3">
        <f t="shared" si="1"/>
        <v>39744000</v>
      </c>
      <c r="I25" s="1" t="s">
        <v>1426</v>
      </c>
      <c r="J25" s="2" t="s">
        <v>1427</v>
      </c>
      <c r="K25" s="11">
        <v>306360000</v>
      </c>
      <c r="L25" s="4">
        <f t="shared" si="2"/>
        <v>333</v>
      </c>
      <c r="M25" s="11">
        <f t="shared" si="3"/>
        <v>61272000</v>
      </c>
      <c r="N25" s="1" t="s">
        <v>1428</v>
      </c>
      <c r="O25" s="2" t="s">
        <v>1429</v>
      </c>
      <c r="P25" s="13">
        <v>356960000</v>
      </c>
      <c r="Q25" s="4">
        <f t="shared" si="4"/>
        <v>388</v>
      </c>
      <c r="R25" s="11">
        <f t="shared" si="5"/>
        <v>71392000</v>
      </c>
      <c r="S25" s="9"/>
      <c r="T25" s="6"/>
      <c r="U25" s="7"/>
      <c r="V25" s="8"/>
      <c r="W25" s="7"/>
      <c r="X25" s="9"/>
      <c r="Y25" s="6"/>
      <c r="Z25" s="7"/>
      <c r="AA25" s="8"/>
      <c r="AB25" s="7"/>
      <c r="AC25" s="9"/>
      <c r="AD25" s="6"/>
      <c r="AE25" s="7"/>
      <c r="AF25" s="8"/>
      <c r="AG25" s="7"/>
      <c r="AH25" s="1" t="s">
        <v>1430</v>
      </c>
      <c r="AI25" s="2" t="s">
        <v>1431</v>
      </c>
      <c r="AJ25" s="10">
        <v>148120000</v>
      </c>
      <c r="AK25" s="4">
        <f t="shared" si="12"/>
        <v>161</v>
      </c>
      <c r="AL25" s="3">
        <f t="shared" si="13"/>
        <v>29624000</v>
      </c>
      <c r="AM25" s="1" t="s">
        <v>1432</v>
      </c>
      <c r="AN25" s="2" t="s">
        <v>1433</v>
      </c>
      <c r="AO25" s="11">
        <v>273240000</v>
      </c>
      <c r="AP25" s="4">
        <f t="shared" si="14"/>
        <v>297</v>
      </c>
      <c r="AQ25" s="11">
        <f t="shared" si="15"/>
        <v>54648000</v>
      </c>
      <c r="AR25" s="9"/>
      <c r="AS25" s="6"/>
      <c r="AT25" s="7"/>
      <c r="AU25" s="8"/>
      <c r="AV25" s="7"/>
      <c r="AW25" s="1" t="s">
        <v>1434</v>
      </c>
      <c r="AX25" s="2" t="s">
        <v>1435</v>
      </c>
      <c r="AY25" s="11">
        <v>121440000</v>
      </c>
      <c r="AZ25" s="5">
        <f t="shared" si="18"/>
        <v>132</v>
      </c>
      <c r="BA25" s="11">
        <f t="shared" si="19"/>
        <v>24288000</v>
      </c>
      <c r="BB25" s="9"/>
      <c r="BC25" s="6"/>
      <c r="BD25" s="7"/>
      <c r="BE25" s="8"/>
      <c r="BF25" s="7"/>
      <c r="BG25" s="9"/>
      <c r="BH25" s="6"/>
      <c r="BI25" s="7"/>
      <c r="BJ25" s="8"/>
      <c r="BK25" s="7"/>
      <c r="BL25" s="1" t="s">
        <v>1436</v>
      </c>
      <c r="BM25" s="2" t="s">
        <v>1437</v>
      </c>
      <c r="BN25" s="11">
        <v>151800000</v>
      </c>
      <c r="BO25" s="4">
        <f t="shared" si="24"/>
        <v>165</v>
      </c>
      <c r="BP25" s="11">
        <f t="shared" si="25"/>
        <v>30360000</v>
      </c>
      <c r="BQ25" s="9"/>
      <c r="BR25" s="6"/>
      <c r="BS25" s="7"/>
      <c r="BT25" s="8"/>
      <c r="BU25" s="7"/>
      <c r="BV25" s="9"/>
      <c r="BW25" s="6"/>
      <c r="BX25" s="7"/>
      <c r="BY25" s="8"/>
      <c r="BZ25" s="7"/>
      <c r="CA25" s="9"/>
      <c r="CB25" s="6"/>
      <c r="CC25" s="7"/>
      <c r="CD25" s="8"/>
      <c r="CE25" s="7"/>
      <c r="CF25" s="9"/>
      <c r="CG25" s="6"/>
      <c r="CH25" s="7"/>
      <c r="CI25" s="8"/>
      <c r="CJ25" s="7"/>
      <c r="CK25" s="9"/>
      <c r="CL25" s="6"/>
      <c r="CM25" s="7"/>
      <c r="CN25" s="8"/>
      <c r="CO25" s="7"/>
      <c r="CP25" s="9"/>
      <c r="CQ25" s="6"/>
      <c r="CR25" s="7"/>
      <c r="CS25" s="8"/>
      <c r="CT25" s="7"/>
      <c r="CU25" s="88" t="s">
        <v>960</v>
      </c>
      <c r="CV25" s="89"/>
      <c r="CW25" s="31">
        <f>SUM(CW5:CW24)</f>
        <v>4582520000</v>
      </c>
      <c r="CX25" s="32">
        <f>SUM(CX5:CX24)</f>
        <v>4981</v>
      </c>
      <c r="CY25" s="31">
        <f>SUM(CY5:CY24)</f>
        <v>916504000</v>
      </c>
      <c r="CZ25" s="1" t="s">
        <v>1438</v>
      </c>
      <c r="DA25" s="2" t="s">
        <v>1439</v>
      </c>
      <c r="DB25" s="11">
        <v>217120000</v>
      </c>
      <c r="DC25" s="4">
        <f t="shared" si="40"/>
        <v>236</v>
      </c>
      <c r="DD25" s="11">
        <f t="shared" si="41"/>
        <v>43424000</v>
      </c>
      <c r="DE25" s="9"/>
      <c r="DF25" s="6"/>
      <c r="DG25" s="7"/>
      <c r="DH25" s="8"/>
      <c r="DI25" s="7"/>
      <c r="DJ25" s="9"/>
      <c r="DK25" s="6"/>
      <c r="DL25" s="7"/>
      <c r="DM25" s="8"/>
      <c r="DN25" s="7"/>
      <c r="DO25" s="9"/>
      <c r="DP25" s="6"/>
      <c r="DQ25" s="7"/>
      <c r="DR25" s="8"/>
      <c r="DS25" s="7"/>
      <c r="DT25" s="9"/>
      <c r="DU25" s="6"/>
      <c r="DV25" s="25"/>
      <c r="DW25" s="8"/>
      <c r="DX25" s="7"/>
      <c r="DY25" s="1" t="s">
        <v>1440</v>
      </c>
      <c r="DZ25" s="2" t="s">
        <v>1441</v>
      </c>
      <c r="EA25" s="24">
        <v>356040000</v>
      </c>
      <c r="EB25" s="4">
        <f t="shared" si="50"/>
        <v>387</v>
      </c>
      <c r="EC25" s="11">
        <f t="shared" si="51"/>
        <v>71208000</v>
      </c>
      <c r="ED25" s="9"/>
      <c r="EE25" s="6"/>
      <c r="EF25" s="7"/>
      <c r="EG25" s="8"/>
      <c r="EH25" s="7"/>
      <c r="EI25" s="9"/>
      <c r="EJ25" s="6"/>
      <c r="EK25" s="7"/>
      <c r="EL25" s="8"/>
      <c r="EM25" s="7"/>
      <c r="EN25" s="9"/>
      <c r="EO25" s="6"/>
      <c r="EP25" s="7"/>
      <c r="EQ25" s="8"/>
      <c r="ER25" s="7"/>
      <c r="ES25" s="9"/>
      <c r="ET25" s="6"/>
      <c r="EU25" s="7"/>
      <c r="EV25" s="8"/>
      <c r="EW25" s="7"/>
      <c r="EX25" s="1" t="s">
        <v>1442</v>
      </c>
      <c r="EY25" s="2" t="s">
        <v>1443</v>
      </c>
      <c r="EZ25" s="24">
        <v>168360000</v>
      </c>
      <c r="FA25" s="4">
        <f t="shared" si="60"/>
        <v>183</v>
      </c>
      <c r="FB25" s="11">
        <f t="shared" si="61"/>
        <v>33672000</v>
      </c>
      <c r="FC25" s="9"/>
      <c r="FD25" s="6"/>
      <c r="FE25" s="7"/>
      <c r="FF25" s="8"/>
      <c r="FG25" s="7"/>
      <c r="FH25" s="1" t="s">
        <v>1444</v>
      </c>
      <c r="FI25" s="2" t="s">
        <v>1445</v>
      </c>
      <c r="FJ25" s="24">
        <v>551080000</v>
      </c>
      <c r="FK25" s="4">
        <f t="shared" si="64"/>
        <v>599</v>
      </c>
      <c r="FL25" s="11">
        <f t="shared" si="65"/>
        <v>110216000</v>
      </c>
      <c r="FM25" s="9"/>
      <c r="FN25" s="6"/>
      <c r="FO25" s="7"/>
      <c r="FP25" s="8"/>
      <c r="FQ25" s="7"/>
      <c r="FR25" s="1" t="s">
        <v>1446</v>
      </c>
      <c r="FS25" s="2" t="s">
        <v>1447</v>
      </c>
      <c r="FT25" s="24">
        <v>110400000</v>
      </c>
      <c r="FU25" s="4">
        <f t="shared" si="68"/>
        <v>120</v>
      </c>
      <c r="FV25" s="11">
        <f t="shared" si="69"/>
        <v>22080000</v>
      </c>
      <c r="FW25" s="9"/>
      <c r="FX25" s="6"/>
      <c r="FY25" s="7"/>
      <c r="FZ25" s="8"/>
      <c r="GA25" s="7"/>
      <c r="GB25" s="1" t="s">
        <v>1448</v>
      </c>
      <c r="GC25" s="2" t="s">
        <v>1449</v>
      </c>
      <c r="GD25" s="24">
        <v>276000000</v>
      </c>
      <c r="GE25" s="4">
        <f t="shared" si="72"/>
        <v>300</v>
      </c>
      <c r="GF25" s="11">
        <f t="shared" si="73"/>
        <v>55200000</v>
      </c>
      <c r="GG25" s="9"/>
      <c r="GH25" s="6"/>
      <c r="GI25" s="7"/>
      <c r="GJ25" s="8"/>
      <c r="GK25" s="7"/>
      <c r="GL25" s="9"/>
      <c r="GM25" s="6"/>
      <c r="GN25" s="7"/>
      <c r="GO25" s="8"/>
      <c r="GP25" s="7"/>
      <c r="GQ25" s="9"/>
      <c r="GR25" s="6"/>
      <c r="GS25" s="7"/>
      <c r="GT25" s="8"/>
      <c r="GU25" s="7"/>
    </row>
    <row r="26" spans="3:203" x14ac:dyDescent="0.25">
      <c r="C26" s="4">
        <v>22</v>
      </c>
      <c r="D26" s="1" t="s">
        <v>1450</v>
      </c>
      <c r="E26" s="2" t="s">
        <v>1451</v>
      </c>
      <c r="F26" s="3">
        <v>208840000</v>
      </c>
      <c r="G26" s="4">
        <f t="shared" si="0"/>
        <v>227</v>
      </c>
      <c r="H26" s="3">
        <f t="shared" si="1"/>
        <v>41768000</v>
      </c>
      <c r="I26" s="88" t="s">
        <v>960</v>
      </c>
      <c r="J26" s="89"/>
      <c r="K26" s="31">
        <f>SUM(K5:K25)</f>
        <v>4262360000</v>
      </c>
      <c r="L26" s="32">
        <f>SUM(L5:L25)</f>
        <v>4633</v>
      </c>
      <c r="M26" s="31">
        <f>SUM(M5:M25)</f>
        <v>852472000</v>
      </c>
      <c r="N26" s="1" t="s">
        <v>1452</v>
      </c>
      <c r="O26" s="2" t="s">
        <v>1453</v>
      </c>
      <c r="P26" s="13">
        <v>170200000</v>
      </c>
      <c r="Q26" s="4">
        <f t="shared" si="4"/>
        <v>185</v>
      </c>
      <c r="R26" s="11">
        <f t="shared" si="5"/>
        <v>34040000</v>
      </c>
      <c r="S26" s="9"/>
      <c r="T26" s="6"/>
      <c r="U26" s="7"/>
      <c r="V26" s="8"/>
      <c r="W26" s="7"/>
      <c r="X26" s="9"/>
      <c r="Y26" s="6"/>
      <c r="Z26" s="7"/>
      <c r="AA26" s="8"/>
      <c r="AB26" s="7"/>
      <c r="AC26" s="9"/>
      <c r="AD26" s="6"/>
      <c r="AE26" s="7"/>
      <c r="AF26" s="8"/>
      <c r="AG26" s="7"/>
      <c r="AH26" s="1" t="s">
        <v>1454</v>
      </c>
      <c r="AI26" s="2" t="s">
        <v>1455</v>
      </c>
      <c r="AJ26" s="10">
        <v>245640000</v>
      </c>
      <c r="AK26" s="4">
        <f t="shared" si="12"/>
        <v>267</v>
      </c>
      <c r="AL26" s="3">
        <f t="shared" si="13"/>
        <v>49128000</v>
      </c>
      <c r="AM26" s="1" t="s">
        <v>1456</v>
      </c>
      <c r="AN26" s="2" t="s">
        <v>923</v>
      </c>
      <c r="AO26" s="11">
        <v>115000000</v>
      </c>
      <c r="AP26" s="4">
        <f t="shared" si="14"/>
        <v>125</v>
      </c>
      <c r="AQ26" s="11">
        <f t="shared" si="15"/>
        <v>23000000</v>
      </c>
      <c r="AR26" s="9"/>
      <c r="AS26" s="6"/>
      <c r="AT26" s="7"/>
      <c r="AU26" s="8"/>
      <c r="AV26" s="7"/>
      <c r="AW26" s="1" t="s">
        <v>1457</v>
      </c>
      <c r="AX26" s="2" t="s">
        <v>1458</v>
      </c>
      <c r="AY26" s="11">
        <v>266800000</v>
      </c>
      <c r="AZ26" s="5">
        <f t="shared" si="18"/>
        <v>290</v>
      </c>
      <c r="BA26" s="11">
        <f t="shared" si="19"/>
        <v>53360000</v>
      </c>
      <c r="BB26" s="9"/>
      <c r="BC26" s="6"/>
      <c r="BD26" s="7"/>
      <c r="BE26" s="8"/>
      <c r="BF26" s="7"/>
      <c r="BG26" s="9"/>
      <c r="BH26" s="6"/>
      <c r="BI26" s="7"/>
      <c r="BJ26" s="8"/>
      <c r="BK26" s="7"/>
      <c r="BL26" s="1" t="s">
        <v>1459</v>
      </c>
      <c r="BM26" s="2" t="s">
        <v>1460</v>
      </c>
      <c r="BN26" s="11">
        <v>183080000</v>
      </c>
      <c r="BO26" s="4">
        <f t="shared" si="24"/>
        <v>199</v>
      </c>
      <c r="BP26" s="11">
        <f t="shared" si="25"/>
        <v>36616000</v>
      </c>
      <c r="BQ26" s="9"/>
      <c r="BR26" s="6"/>
      <c r="BS26" s="7"/>
      <c r="BT26" s="8"/>
      <c r="BU26" s="7"/>
      <c r="BV26" s="9"/>
      <c r="BW26" s="6"/>
      <c r="BX26" s="7"/>
      <c r="BY26" s="8"/>
      <c r="BZ26" s="7"/>
      <c r="CA26" s="9"/>
      <c r="CB26" s="6"/>
      <c r="CC26" s="7"/>
      <c r="CD26" s="8"/>
      <c r="CE26" s="7"/>
      <c r="CF26" s="9"/>
      <c r="CG26" s="6"/>
      <c r="CH26" s="7"/>
      <c r="CI26" s="8"/>
      <c r="CJ26" s="7"/>
      <c r="CK26" s="9"/>
      <c r="CL26" s="6"/>
      <c r="CM26" s="7"/>
      <c r="CN26" s="8"/>
      <c r="CO26" s="7"/>
      <c r="CP26" s="9"/>
      <c r="CQ26" s="6"/>
      <c r="CR26" s="7"/>
      <c r="CS26" s="8"/>
      <c r="CT26" s="7"/>
      <c r="CU26" s="9"/>
      <c r="CV26" s="6"/>
      <c r="CW26" s="30"/>
      <c r="CX26" s="8"/>
      <c r="CY26" s="7"/>
      <c r="CZ26" s="88" t="s">
        <v>960</v>
      </c>
      <c r="DA26" s="89"/>
      <c r="DB26" s="31">
        <f>SUM(DB5:DB25)</f>
        <v>4834600000</v>
      </c>
      <c r="DC26" s="32">
        <f>SUM(DC5:DC25)</f>
        <v>5255</v>
      </c>
      <c r="DD26" s="31">
        <f>SUM(DD5:DD25)</f>
        <v>966920000</v>
      </c>
      <c r="DE26" s="9"/>
      <c r="DF26" s="6"/>
      <c r="DG26" s="7"/>
      <c r="DH26" s="8"/>
      <c r="DI26" s="7"/>
      <c r="DJ26" s="9"/>
      <c r="DK26" s="6"/>
      <c r="DL26" s="7"/>
      <c r="DM26" s="8"/>
      <c r="DN26" s="7"/>
      <c r="DO26" s="9"/>
      <c r="DP26" s="6"/>
      <c r="DQ26" s="7"/>
      <c r="DR26" s="8"/>
      <c r="DS26" s="7"/>
      <c r="DT26" s="9"/>
      <c r="DU26" s="6"/>
      <c r="DV26" s="25"/>
      <c r="DW26" s="8"/>
      <c r="DX26" s="7"/>
      <c r="DY26" s="1" t="s">
        <v>1461</v>
      </c>
      <c r="DZ26" s="2" t="s">
        <v>1462</v>
      </c>
      <c r="EA26" s="24">
        <v>319240000</v>
      </c>
      <c r="EB26" s="4">
        <f t="shared" si="50"/>
        <v>347</v>
      </c>
      <c r="EC26" s="11">
        <f t="shared" si="51"/>
        <v>63848000</v>
      </c>
      <c r="ED26" s="9"/>
      <c r="EE26" s="6"/>
      <c r="EF26" s="7"/>
      <c r="EG26" s="8"/>
      <c r="EH26" s="7"/>
      <c r="EI26" s="9"/>
      <c r="EJ26" s="6"/>
      <c r="EK26" s="7"/>
      <c r="EL26" s="8"/>
      <c r="EM26" s="7"/>
      <c r="EN26" s="9"/>
      <c r="EO26" s="6"/>
      <c r="EP26" s="7"/>
      <c r="EQ26" s="8"/>
      <c r="ER26" s="7"/>
      <c r="ES26" s="9"/>
      <c r="ET26" s="6"/>
      <c r="EU26" s="7"/>
      <c r="EV26" s="8"/>
      <c r="EW26" s="7"/>
      <c r="EX26" s="1" t="s">
        <v>1463</v>
      </c>
      <c r="EY26" s="2" t="s">
        <v>1464</v>
      </c>
      <c r="EZ26" s="24">
        <v>104880000</v>
      </c>
      <c r="FA26" s="4">
        <f t="shared" si="60"/>
        <v>114</v>
      </c>
      <c r="FB26" s="11">
        <f t="shared" si="61"/>
        <v>20976000</v>
      </c>
      <c r="FC26" s="9"/>
      <c r="FD26" s="6"/>
      <c r="FE26" s="7"/>
      <c r="FF26" s="8"/>
      <c r="FG26" s="7"/>
      <c r="FH26" s="1" t="s">
        <v>1465</v>
      </c>
      <c r="FI26" s="2" t="s">
        <v>1466</v>
      </c>
      <c r="FJ26" s="24">
        <v>576840000</v>
      </c>
      <c r="FK26" s="4">
        <f t="shared" si="64"/>
        <v>627</v>
      </c>
      <c r="FL26" s="11">
        <f t="shared" si="65"/>
        <v>115368000</v>
      </c>
      <c r="FM26" s="9"/>
      <c r="FN26" s="6"/>
      <c r="FO26" s="7"/>
      <c r="FP26" s="8"/>
      <c r="FQ26" s="7"/>
      <c r="FR26" s="1" t="s">
        <v>1467</v>
      </c>
      <c r="FS26" s="2" t="s">
        <v>1468</v>
      </c>
      <c r="FT26" s="24">
        <v>429640000</v>
      </c>
      <c r="FU26" s="4">
        <f t="shared" si="68"/>
        <v>467</v>
      </c>
      <c r="FV26" s="11">
        <f t="shared" si="69"/>
        <v>85928000</v>
      </c>
      <c r="FW26" s="9"/>
      <c r="FX26" s="6"/>
      <c r="FY26" s="7"/>
      <c r="FZ26" s="8"/>
      <c r="GA26" s="7"/>
      <c r="GB26" s="88" t="s">
        <v>960</v>
      </c>
      <c r="GC26" s="89"/>
      <c r="GD26" s="31">
        <f>SUM(GD5:GD25)</f>
        <v>4487760000</v>
      </c>
      <c r="GE26" s="32">
        <f>SUM(GE5:GE25)</f>
        <v>4878</v>
      </c>
      <c r="GF26" s="31">
        <f>SUM(GF5:GF25)</f>
        <v>897552000</v>
      </c>
      <c r="GG26" s="9"/>
      <c r="GH26" s="6"/>
      <c r="GI26" s="7"/>
      <c r="GJ26" s="8"/>
      <c r="GK26" s="7"/>
      <c r="GL26" s="9"/>
      <c r="GM26" s="6"/>
      <c r="GN26" s="7"/>
      <c r="GO26" s="8"/>
      <c r="GP26" s="7"/>
      <c r="GQ26" s="9"/>
      <c r="GR26" s="6"/>
      <c r="GS26" s="7"/>
      <c r="GT26" s="8"/>
      <c r="GU26" s="7"/>
    </row>
    <row r="27" spans="3:203" x14ac:dyDescent="0.25">
      <c r="C27" s="4">
        <v>23</v>
      </c>
      <c r="D27" s="1" t="s">
        <v>1469</v>
      </c>
      <c r="E27" s="2" t="s">
        <v>1470</v>
      </c>
      <c r="F27" s="3">
        <v>515200000</v>
      </c>
      <c r="G27" s="4">
        <f t="shared" si="0"/>
        <v>560</v>
      </c>
      <c r="H27" s="3">
        <f t="shared" si="1"/>
        <v>103040000</v>
      </c>
      <c r="I27" s="9"/>
      <c r="J27" s="6"/>
      <c r="K27" s="7"/>
      <c r="L27" s="8"/>
      <c r="M27" s="7"/>
      <c r="N27" s="1" t="s">
        <v>1471</v>
      </c>
      <c r="O27" s="2" t="s">
        <v>1472</v>
      </c>
      <c r="P27" s="13">
        <v>154560000</v>
      </c>
      <c r="Q27" s="4">
        <f t="shared" si="4"/>
        <v>168</v>
      </c>
      <c r="R27" s="11">
        <f t="shared" si="5"/>
        <v>30912000</v>
      </c>
      <c r="S27" s="9"/>
      <c r="T27" s="6"/>
      <c r="U27" s="7"/>
      <c r="V27" s="8"/>
      <c r="W27" s="7"/>
      <c r="X27" s="9"/>
      <c r="Y27" s="6"/>
      <c r="Z27" s="7"/>
      <c r="AA27" s="8"/>
      <c r="AB27" s="7"/>
      <c r="AC27" s="9"/>
      <c r="AD27" s="6"/>
      <c r="AE27" s="7"/>
      <c r="AF27" s="8"/>
      <c r="AG27" s="7"/>
      <c r="AH27" s="1" t="s">
        <v>1473</v>
      </c>
      <c r="AI27" s="2" t="s">
        <v>1474</v>
      </c>
      <c r="AJ27" s="10">
        <v>418600000</v>
      </c>
      <c r="AK27" s="4">
        <f t="shared" si="12"/>
        <v>455</v>
      </c>
      <c r="AL27" s="3">
        <f t="shared" si="13"/>
        <v>83720000</v>
      </c>
      <c r="AM27" s="1" t="s">
        <v>1475</v>
      </c>
      <c r="AN27" s="2" t="s">
        <v>1476</v>
      </c>
      <c r="AO27" s="11">
        <v>161000000</v>
      </c>
      <c r="AP27" s="4">
        <f t="shared" si="14"/>
        <v>175</v>
      </c>
      <c r="AQ27" s="11">
        <f t="shared" si="15"/>
        <v>32200000</v>
      </c>
      <c r="AR27" s="9"/>
      <c r="AS27" s="6"/>
      <c r="AT27" s="7"/>
      <c r="AU27" s="8"/>
      <c r="AV27" s="7"/>
      <c r="AW27" s="1" t="s">
        <v>1477</v>
      </c>
      <c r="AX27" s="2" t="s">
        <v>1478</v>
      </c>
      <c r="AY27" s="11">
        <v>265880000</v>
      </c>
      <c r="AZ27" s="5">
        <f t="shared" si="18"/>
        <v>289</v>
      </c>
      <c r="BA27" s="11">
        <f t="shared" si="19"/>
        <v>53176000</v>
      </c>
      <c r="BB27" s="9"/>
      <c r="BC27" s="6"/>
      <c r="BD27" s="7"/>
      <c r="BE27" s="8"/>
      <c r="BF27" s="7"/>
      <c r="BG27" s="9"/>
      <c r="BH27" s="6"/>
      <c r="BI27" s="7"/>
      <c r="BJ27" s="8"/>
      <c r="BK27" s="7"/>
      <c r="BL27" s="1" t="s">
        <v>1479</v>
      </c>
      <c r="BM27" s="2" t="s">
        <v>1480</v>
      </c>
      <c r="BN27" s="11">
        <v>73600000</v>
      </c>
      <c r="BO27" s="4">
        <f t="shared" si="24"/>
        <v>80</v>
      </c>
      <c r="BP27" s="11">
        <f t="shared" si="25"/>
        <v>14720000</v>
      </c>
      <c r="BQ27" s="9"/>
      <c r="BR27" s="6"/>
      <c r="BS27" s="7"/>
      <c r="BT27" s="8"/>
      <c r="BU27" s="7"/>
      <c r="BV27" s="9"/>
      <c r="BW27" s="6"/>
      <c r="BX27" s="7"/>
      <c r="BY27" s="8"/>
      <c r="BZ27" s="7"/>
      <c r="CA27" s="9"/>
      <c r="CB27" s="6"/>
      <c r="CC27" s="7"/>
      <c r="CD27" s="8"/>
      <c r="CE27" s="7"/>
      <c r="CF27" s="9"/>
      <c r="CG27" s="6"/>
      <c r="CH27" s="7"/>
      <c r="CI27" s="8"/>
      <c r="CJ27" s="7"/>
      <c r="CK27" s="9"/>
      <c r="CL27" s="6"/>
      <c r="CM27" s="7"/>
      <c r="CN27" s="8"/>
      <c r="CO27" s="7"/>
      <c r="CP27" s="9"/>
      <c r="CQ27" s="6"/>
      <c r="CR27" s="7"/>
      <c r="CS27" s="8"/>
      <c r="CT27" s="7"/>
      <c r="CU27" s="9"/>
      <c r="CV27" s="6"/>
      <c r="CW27" s="7"/>
      <c r="CX27" s="8"/>
      <c r="CY27" s="7"/>
      <c r="CZ27" s="9"/>
      <c r="DA27" s="6"/>
      <c r="DB27" s="7"/>
      <c r="DC27" s="8"/>
      <c r="DD27" s="7"/>
      <c r="DE27" s="9"/>
      <c r="DF27" s="6"/>
      <c r="DG27" s="7"/>
      <c r="DH27" s="8"/>
      <c r="DI27" s="7"/>
      <c r="DJ27" s="9"/>
      <c r="DK27" s="6"/>
      <c r="DL27" s="7"/>
      <c r="DM27" s="8"/>
      <c r="DN27" s="7"/>
      <c r="DO27" s="9"/>
      <c r="DP27" s="6"/>
      <c r="DQ27" s="7"/>
      <c r="DR27" s="8"/>
      <c r="DS27" s="7"/>
      <c r="DT27" s="9"/>
      <c r="DU27" s="6"/>
      <c r="DV27" s="25"/>
      <c r="DW27" s="8"/>
      <c r="DX27" s="7"/>
      <c r="DY27" s="88" t="s">
        <v>960</v>
      </c>
      <c r="DZ27" s="89"/>
      <c r="EA27" s="31">
        <f>SUM(EA5:EA26)</f>
        <v>5288160000</v>
      </c>
      <c r="EB27" s="32">
        <f>SUM(EB5:EB26)</f>
        <v>5748</v>
      </c>
      <c r="EC27" s="31">
        <f>SUM(EC5:EC26)</f>
        <v>1057632000</v>
      </c>
      <c r="ED27" s="9"/>
      <c r="EE27" s="6"/>
      <c r="EF27" s="7"/>
      <c r="EG27" s="8"/>
      <c r="EH27" s="7"/>
      <c r="EI27" s="9"/>
      <c r="EJ27" s="6"/>
      <c r="EK27" s="7"/>
      <c r="EL27" s="8"/>
      <c r="EM27" s="7"/>
      <c r="EN27" s="9"/>
      <c r="EO27" s="6"/>
      <c r="EP27" s="7"/>
      <c r="EQ27" s="8"/>
      <c r="ER27" s="7"/>
      <c r="ES27" s="9"/>
      <c r="ET27" s="6"/>
      <c r="EU27" s="7"/>
      <c r="EV27" s="8"/>
      <c r="EW27" s="7"/>
      <c r="EX27" s="1" t="s">
        <v>1481</v>
      </c>
      <c r="EY27" s="2" t="s">
        <v>1482</v>
      </c>
      <c r="EZ27" s="24">
        <v>288880000</v>
      </c>
      <c r="FA27" s="4">
        <f t="shared" si="60"/>
        <v>314</v>
      </c>
      <c r="FB27" s="11">
        <f t="shared" si="61"/>
        <v>57776000</v>
      </c>
      <c r="FC27" s="9"/>
      <c r="FD27" s="6"/>
      <c r="FE27" s="7"/>
      <c r="FF27" s="8"/>
      <c r="FG27" s="7"/>
      <c r="FH27" s="1" t="s">
        <v>1483</v>
      </c>
      <c r="FI27" s="2" t="s">
        <v>1484</v>
      </c>
      <c r="FJ27" s="24">
        <v>222640000</v>
      </c>
      <c r="FK27" s="4">
        <f t="shared" si="64"/>
        <v>242</v>
      </c>
      <c r="FL27" s="11">
        <f t="shared" si="65"/>
        <v>44528000</v>
      </c>
      <c r="FM27" s="9"/>
      <c r="FN27" s="6"/>
      <c r="FO27" s="7"/>
      <c r="FP27" s="8"/>
      <c r="FQ27" s="7"/>
      <c r="FR27" s="1" t="s">
        <v>1485</v>
      </c>
      <c r="FS27" s="2" t="s">
        <v>1486</v>
      </c>
      <c r="FT27" s="24">
        <v>211600000</v>
      </c>
      <c r="FU27" s="4">
        <f t="shared" si="68"/>
        <v>230</v>
      </c>
      <c r="FV27" s="11">
        <f t="shared" si="69"/>
        <v>42320000</v>
      </c>
      <c r="FW27" s="9"/>
      <c r="FX27" s="6"/>
      <c r="FY27" s="7"/>
      <c r="FZ27" s="8"/>
      <c r="GA27" s="7"/>
      <c r="GB27" s="9"/>
      <c r="GC27" s="6"/>
      <c r="GD27" s="7"/>
      <c r="GE27" s="8"/>
      <c r="GF27" s="7"/>
      <c r="GG27" s="9"/>
      <c r="GH27" s="6"/>
      <c r="GI27" s="7"/>
      <c r="GJ27" s="8"/>
      <c r="GK27" s="7"/>
      <c r="GL27" s="9"/>
      <c r="GM27" s="6"/>
      <c r="GN27" s="7"/>
      <c r="GO27" s="8"/>
      <c r="GP27" s="7"/>
      <c r="GQ27" s="9"/>
      <c r="GR27" s="6"/>
      <c r="GS27" s="7"/>
      <c r="GT27" s="8"/>
      <c r="GU27" s="7"/>
    </row>
    <row r="28" spans="3:203" x14ac:dyDescent="0.25">
      <c r="C28" s="4">
        <v>24</v>
      </c>
      <c r="D28" s="1" t="s">
        <v>1487</v>
      </c>
      <c r="E28" s="2" t="s">
        <v>1488</v>
      </c>
      <c r="F28" s="3">
        <v>97520000</v>
      </c>
      <c r="G28" s="4">
        <f t="shared" si="0"/>
        <v>106</v>
      </c>
      <c r="H28" s="3">
        <f t="shared" si="1"/>
        <v>19504000</v>
      </c>
      <c r="I28" s="9"/>
      <c r="J28" s="6"/>
      <c r="K28" s="7"/>
      <c r="L28" s="8"/>
      <c r="M28" s="7"/>
      <c r="N28" s="1" t="s">
        <v>1489</v>
      </c>
      <c r="O28" s="2" t="s">
        <v>1490</v>
      </c>
      <c r="P28" s="13">
        <v>229080000</v>
      </c>
      <c r="Q28" s="4">
        <f t="shared" si="4"/>
        <v>249</v>
      </c>
      <c r="R28" s="11">
        <f t="shared" si="5"/>
        <v>45816000</v>
      </c>
      <c r="S28" s="9"/>
      <c r="T28" s="6"/>
      <c r="U28" s="7"/>
      <c r="V28" s="8"/>
      <c r="W28" s="7"/>
      <c r="X28" s="9"/>
      <c r="Y28" s="6"/>
      <c r="Z28" s="7"/>
      <c r="AA28" s="8"/>
      <c r="AB28" s="7"/>
      <c r="AC28" s="9"/>
      <c r="AD28" s="6"/>
      <c r="AE28" s="7"/>
      <c r="AF28" s="8"/>
      <c r="AG28" s="7"/>
      <c r="AH28" s="88" t="s">
        <v>960</v>
      </c>
      <c r="AI28" s="89"/>
      <c r="AJ28" s="31">
        <f>SUM(AJ5:AJ27)</f>
        <v>5035160000</v>
      </c>
      <c r="AK28" s="32">
        <f>SUM(AK5:AK27)</f>
        <v>5473</v>
      </c>
      <c r="AL28" s="31">
        <f>SUM(AL5:AL27)</f>
        <v>1007032000</v>
      </c>
      <c r="AM28" s="1" t="s">
        <v>1491</v>
      </c>
      <c r="AN28" s="2" t="s">
        <v>1492</v>
      </c>
      <c r="AO28" s="11">
        <v>204240000</v>
      </c>
      <c r="AP28" s="4">
        <f t="shared" si="14"/>
        <v>222</v>
      </c>
      <c r="AQ28" s="11">
        <f t="shared" si="15"/>
        <v>40848000</v>
      </c>
      <c r="AR28" s="9"/>
      <c r="AS28" s="6"/>
      <c r="AT28" s="7"/>
      <c r="AU28" s="8"/>
      <c r="AV28" s="7"/>
      <c r="AW28" s="1" t="s">
        <v>1493</v>
      </c>
      <c r="AX28" s="2" t="s">
        <v>1494</v>
      </c>
      <c r="AY28" s="11">
        <v>269560000</v>
      </c>
      <c r="AZ28" s="5">
        <f t="shared" si="18"/>
        <v>293</v>
      </c>
      <c r="BA28" s="11">
        <f t="shared" si="19"/>
        <v>53912000</v>
      </c>
      <c r="BB28" s="9"/>
      <c r="BC28" s="6"/>
      <c r="BD28" s="7"/>
      <c r="BE28" s="8"/>
      <c r="BF28" s="7"/>
      <c r="BG28" s="9"/>
      <c r="BH28" s="6"/>
      <c r="BI28" s="7"/>
      <c r="BJ28" s="8"/>
      <c r="BK28" s="7"/>
      <c r="BL28" s="1" t="s">
        <v>1495</v>
      </c>
      <c r="BM28" s="2" t="s">
        <v>1496</v>
      </c>
      <c r="BN28" s="11">
        <v>152720000</v>
      </c>
      <c r="BO28" s="4">
        <f t="shared" si="24"/>
        <v>166</v>
      </c>
      <c r="BP28" s="11">
        <f t="shared" si="25"/>
        <v>30544000</v>
      </c>
      <c r="BQ28" s="9"/>
      <c r="BR28" s="6"/>
      <c r="BS28" s="7"/>
      <c r="BT28" s="8"/>
      <c r="BU28" s="7"/>
      <c r="BV28" s="9"/>
      <c r="BW28" s="6"/>
      <c r="BX28" s="7"/>
      <c r="BY28" s="8"/>
      <c r="BZ28" s="7"/>
      <c r="CA28" s="9"/>
      <c r="CB28" s="6"/>
      <c r="CC28" s="7"/>
      <c r="CD28" s="8"/>
      <c r="CE28" s="7"/>
      <c r="CF28" s="9"/>
      <c r="CG28" s="6"/>
      <c r="CH28" s="7"/>
      <c r="CI28" s="8"/>
      <c r="CJ28" s="7"/>
      <c r="CK28" s="9"/>
      <c r="CL28" s="6"/>
      <c r="CM28" s="7"/>
      <c r="CN28" s="8"/>
      <c r="CO28" s="7"/>
      <c r="CP28" s="9"/>
      <c r="CQ28" s="6"/>
      <c r="CR28" s="7"/>
      <c r="CS28" s="8"/>
      <c r="CT28" s="7"/>
      <c r="CU28" s="9"/>
      <c r="CV28" s="6"/>
      <c r="CW28" s="7"/>
      <c r="CX28" s="8"/>
      <c r="CY28" s="7"/>
      <c r="CZ28" s="9"/>
      <c r="DA28" s="6"/>
      <c r="DB28" s="7"/>
      <c r="DC28" s="8"/>
      <c r="DD28" s="7"/>
      <c r="DE28" s="9"/>
      <c r="DF28" s="6"/>
      <c r="DG28" s="7"/>
      <c r="DH28" s="8"/>
      <c r="DI28" s="7"/>
      <c r="DJ28" s="9"/>
      <c r="DK28" s="6"/>
      <c r="DL28" s="7"/>
      <c r="DM28" s="8"/>
      <c r="DN28" s="7"/>
      <c r="DO28" s="9"/>
      <c r="DP28" s="6"/>
      <c r="DQ28" s="7"/>
      <c r="DR28" s="8"/>
      <c r="DS28" s="7"/>
      <c r="DT28" s="9"/>
      <c r="DU28" s="6"/>
      <c r="DV28" s="25"/>
      <c r="DW28" s="8"/>
      <c r="DX28" s="7"/>
      <c r="DY28" s="9"/>
      <c r="DZ28" s="6"/>
      <c r="EA28" s="7"/>
      <c r="EB28" s="8"/>
      <c r="EC28" s="7"/>
      <c r="ED28" s="9"/>
      <c r="EE28" s="6"/>
      <c r="EF28" s="7"/>
      <c r="EG28" s="8"/>
      <c r="EH28" s="7"/>
      <c r="EI28" s="9"/>
      <c r="EJ28" s="6"/>
      <c r="EK28" s="7"/>
      <c r="EL28" s="8"/>
      <c r="EM28" s="7"/>
      <c r="EN28" s="9"/>
      <c r="EO28" s="6"/>
      <c r="EP28" s="7"/>
      <c r="EQ28" s="8"/>
      <c r="ER28" s="7"/>
      <c r="ES28" s="9"/>
      <c r="ET28" s="6"/>
      <c r="EU28" s="7"/>
      <c r="EV28" s="8"/>
      <c r="EW28" s="7"/>
      <c r="EX28" s="1" t="s">
        <v>1497</v>
      </c>
      <c r="EY28" s="2" t="s">
        <v>1498</v>
      </c>
      <c r="EZ28" s="24">
        <v>215280000</v>
      </c>
      <c r="FA28" s="4">
        <f t="shared" si="60"/>
        <v>234</v>
      </c>
      <c r="FB28" s="11">
        <f t="shared" si="61"/>
        <v>43056000</v>
      </c>
      <c r="FC28" s="9"/>
      <c r="FD28" s="6"/>
      <c r="FE28" s="7"/>
      <c r="FF28" s="8"/>
      <c r="FG28" s="7"/>
      <c r="FH28" s="1" t="s">
        <v>1499</v>
      </c>
      <c r="FI28" s="2" t="s">
        <v>1500</v>
      </c>
      <c r="FJ28" s="24">
        <v>444360000</v>
      </c>
      <c r="FK28" s="4">
        <f t="shared" si="64"/>
        <v>483</v>
      </c>
      <c r="FL28" s="11">
        <f t="shared" si="65"/>
        <v>88872000</v>
      </c>
      <c r="FM28" s="9"/>
      <c r="FN28" s="6"/>
      <c r="FO28" s="7"/>
      <c r="FP28" s="8"/>
      <c r="FQ28" s="7"/>
      <c r="FR28" s="1" t="s">
        <v>1501</v>
      </c>
      <c r="FS28" s="2" t="s">
        <v>1502</v>
      </c>
      <c r="FT28" s="24">
        <v>154560000</v>
      </c>
      <c r="FU28" s="4">
        <f t="shared" si="68"/>
        <v>168</v>
      </c>
      <c r="FV28" s="11">
        <f t="shared" si="69"/>
        <v>30912000</v>
      </c>
      <c r="FW28" s="9"/>
      <c r="FX28" s="6"/>
      <c r="FY28" s="7"/>
      <c r="FZ28" s="8"/>
      <c r="GA28" s="7"/>
      <c r="GB28" s="9"/>
      <c r="GC28" s="6"/>
      <c r="GD28" s="7"/>
      <c r="GE28" s="8"/>
      <c r="GF28" s="7"/>
      <c r="GG28" s="9"/>
      <c r="GH28" s="6"/>
      <c r="GI28" s="7"/>
      <c r="GJ28" s="8"/>
      <c r="GK28" s="7"/>
      <c r="GL28" s="9"/>
      <c r="GM28" s="6"/>
      <c r="GN28" s="7"/>
      <c r="GO28" s="8"/>
      <c r="GP28" s="7"/>
      <c r="GQ28" s="9"/>
      <c r="GR28" s="6"/>
      <c r="GS28" s="7"/>
      <c r="GT28" s="8"/>
      <c r="GU28" s="7"/>
    </row>
    <row r="29" spans="3:203" x14ac:dyDescent="0.25">
      <c r="C29" s="92" t="s">
        <v>960</v>
      </c>
      <c r="D29" s="93"/>
      <c r="E29" s="89"/>
      <c r="F29" s="31">
        <f>SUM(F5:F28)</f>
        <v>6003920000</v>
      </c>
      <c r="G29" s="32">
        <f>SUM(G5:G28)</f>
        <v>6526</v>
      </c>
      <c r="H29" s="31">
        <f>SUM(H5:H28)</f>
        <v>1200784000</v>
      </c>
      <c r="N29" s="92" t="s">
        <v>960</v>
      </c>
      <c r="O29" s="89"/>
      <c r="P29" s="31">
        <f>SUM(P5:P28)</f>
        <v>6143760000</v>
      </c>
      <c r="Q29" s="33">
        <f>SUM(Q5:Q28)</f>
        <v>6678</v>
      </c>
      <c r="R29" s="34">
        <f>SUM(R5:R28)</f>
        <v>1228752000</v>
      </c>
      <c r="AM29" s="1" t="s">
        <v>1503</v>
      </c>
      <c r="AN29" s="2" t="s">
        <v>1504</v>
      </c>
      <c r="AO29" s="11">
        <v>115000000</v>
      </c>
      <c r="AP29" s="4">
        <f t="shared" si="14"/>
        <v>125</v>
      </c>
      <c r="AQ29" s="11">
        <f t="shared" si="15"/>
        <v>23000000</v>
      </c>
      <c r="AW29" s="1" t="s">
        <v>1505</v>
      </c>
      <c r="AX29" s="2" t="s">
        <v>1506</v>
      </c>
      <c r="AY29" s="11">
        <v>299000000</v>
      </c>
      <c r="AZ29" s="5">
        <f t="shared" si="18"/>
        <v>325</v>
      </c>
      <c r="BA29" s="11">
        <f t="shared" si="19"/>
        <v>59800000</v>
      </c>
      <c r="BL29" s="1" t="s">
        <v>1507</v>
      </c>
      <c r="BM29" s="2" t="s">
        <v>1508</v>
      </c>
      <c r="BN29" s="11">
        <v>174800000</v>
      </c>
      <c r="BO29" s="4">
        <f t="shared" si="24"/>
        <v>190</v>
      </c>
      <c r="BP29" s="11">
        <f t="shared" si="25"/>
        <v>34960000</v>
      </c>
      <c r="EX29" s="1" t="s">
        <v>1509</v>
      </c>
      <c r="EY29" s="2" t="s">
        <v>1510</v>
      </c>
      <c r="EZ29" s="24">
        <v>112240000</v>
      </c>
      <c r="FA29" s="4">
        <f t="shared" si="60"/>
        <v>122</v>
      </c>
      <c r="FB29" s="11">
        <f t="shared" si="61"/>
        <v>22448000</v>
      </c>
      <c r="FH29" s="1" t="s">
        <v>1511</v>
      </c>
      <c r="FI29" s="2" t="s">
        <v>1512</v>
      </c>
      <c r="FJ29" s="24">
        <v>266800000</v>
      </c>
      <c r="FK29" s="4">
        <f t="shared" si="64"/>
        <v>290</v>
      </c>
      <c r="FL29" s="11">
        <f t="shared" si="65"/>
        <v>53360000</v>
      </c>
      <c r="FR29" s="1" t="s">
        <v>1513</v>
      </c>
      <c r="FS29" s="2" t="s">
        <v>1514</v>
      </c>
      <c r="FT29" s="24">
        <v>197800000</v>
      </c>
      <c r="FU29" s="4">
        <f t="shared" si="68"/>
        <v>215</v>
      </c>
      <c r="FV29" s="11">
        <f t="shared" si="69"/>
        <v>39560000</v>
      </c>
    </row>
    <row r="30" spans="3:203" x14ac:dyDescent="0.25">
      <c r="AM30" s="1" t="s">
        <v>1515</v>
      </c>
      <c r="AN30" s="2" t="s">
        <v>1516</v>
      </c>
      <c r="AO30" s="11">
        <v>175720000</v>
      </c>
      <c r="AP30" s="4">
        <f t="shared" si="14"/>
        <v>191</v>
      </c>
      <c r="AQ30" s="11">
        <f t="shared" si="15"/>
        <v>35144000</v>
      </c>
      <c r="AW30" s="92" t="s">
        <v>960</v>
      </c>
      <c r="AX30" s="89"/>
      <c r="AY30" s="31">
        <f>SUM(AY5:AY29)</f>
        <v>4964320000</v>
      </c>
      <c r="AZ30" s="32">
        <f>SUM(AZ5:AZ29)</f>
        <v>5396</v>
      </c>
      <c r="BA30" s="31">
        <f>SUM(BA5:BA29)</f>
        <v>992864000</v>
      </c>
      <c r="BL30" s="88" t="s">
        <v>960</v>
      </c>
      <c r="BM30" s="89"/>
      <c r="BN30" s="31">
        <f>SUM(BN5:BN29)</f>
        <v>4628520000</v>
      </c>
      <c r="BO30" s="32">
        <f>SUM(BO5:BO29)</f>
        <v>5031</v>
      </c>
      <c r="BP30" s="31">
        <f>SUM(BP5:BP29)</f>
        <v>925704000</v>
      </c>
      <c r="EX30" s="1" t="s">
        <v>1517</v>
      </c>
      <c r="EY30" s="2" t="s">
        <v>1518</v>
      </c>
      <c r="EZ30" s="24">
        <v>202400000</v>
      </c>
      <c r="FA30" s="4">
        <f t="shared" si="60"/>
        <v>220</v>
      </c>
      <c r="FB30" s="11">
        <f t="shared" si="61"/>
        <v>40480000</v>
      </c>
      <c r="FH30" s="1" t="s">
        <v>1519</v>
      </c>
      <c r="FI30" s="2" t="s">
        <v>1520</v>
      </c>
      <c r="FJ30" s="24">
        <v>192280000</v>
      </c>
      <c r="FK30" s="4">
        <f t="shared" si="64"/>
        <v>209</v>
      </c>
      <c r="FL30" s="11">
        <f t="shared" si="65"/>
        <v>38456000</v>
      </c>
      <c r="FR30" s="1" t="s">
        <v>1521</v>
      </c>
      <c r="FS30" s="2" t="s">
        <v>1522</v>
      </c>
      <c r="FT30" s="24">
        <v>123280000</v>
      </c>
      <c r="FU30" s="4">
        <f t="shared" si="68"/>
        <v>134</v>
      </c>
      <c r="FV30" s="11">
        <f t="shared" si="69"/>
        <v>24656000</v>
      </c>
    </row>
    <row r="31" spans="3:203" x14ac:dyDescent="0.25">
      <c r="AM31" s="1" t="s">
        <v>1523</v>
      </c>
      <c r="AN31" s="2" t="s">
        <v>1524</v>
      </c>
      <c r="AO31" s="11">
        <v>191360000</v>
      </c>
      <c r="AP31" s="4">
        <f t="shared" si="14"/>
        <v>208</v>
      </c>
      <c r="AQ31" s="11">
        <f t="shared" si="15"/>
        <v>38272000</v>
      </c>
      <c r="EX31" s="1" t="s">
        <v>1525</v>
      </c>
      <c r="EY31" s="2" t="s">
        <v>1526</v>
      </c>
      <c r="EZ31" s="24">
        <v>307280000</v>
      </c>
      <c r="FA31" s="4">
        <f t="shared" si="60"/>
        <v>334</v>
      </c>
      <c r="FB31" s="11">
        <f t="shared" si="61"/>
        <v>61456000</v>
      </c>
      <c r="FH31" s="1" t="s">
        <v>1527</v>
      </c>
      <c r="FI31" s="2" t="s">
        <v>1528</v>
      </c>
      <c r="FJ31" s="24">
        <v>224480000</v>
      </c>
      <c r="FK31" s="4">
        <f t="shared" si="64"/>
        <v>244</v>
      </c>
      <c r="FL31" s="11">
        <f t="shared" si="65"/>
        <v>44896000</v>
      </c>
      <c r="FR31" s="88" t="s">
        <v>960</v>
      </c>
      <c r="FS31" s="89"/>
      <c r="FT31" s="31">
        <f>SUM(FT5:FT30)</f>
        <v>6099600000</v>
      </c>
      <c r="FU31" s="32">
        <f>SUM(FU5:FU30)</f>
        <v>6630</v>
      </c>
      <c r="FV31" s="31">
        <f>SUM(FV5:FV30)</f>
        <v>1219920000</v>
      </c>
    </row>
    <row r="32" spans="3:203" x14ac:dyDescent="0.25">
      <c r="AM32" s="1" t="s">
        <v>1529</v>
      </c>
      <c r="AN32" s="2" t="s">
        <v>1530</v>
      </c>
      <c r="AO32" s="11">
        <v>105800000</v>
      </c>
      <c r="AP32" s="4">
        <f t="shared" si="14"/>
        <v>115</v>
      </c>
      <c r="AQ32" s="11">
        <f t="shared" si="15"/>
        <v>21160000</v>
      </c>
      <c r="EX32" s="1" t="s">
        <v>1531</v>
      </c>
      <c r="EY32" s="2" t="s">
        <v>1532</v>
      </c>
      <c r="EZ32" s="24">
        <v>356960000</v>
      </c>
      <c r="FA32" s="4">
        <f t="shared" si="60"/>
        <v>388</v>
      </c>
      <c r="FB32" s="11">
        <f t="shared" si="61"/>
        <v>71392000</v>
      </c>
      <c r="FH32" s="88" t="s">
        <v>960</v>
      </c>
      <c r="FI32" s="89"/>
      <c r="FJ32" s="31">
        <f>SUM(FJ5:FJ31)</f>
        <v>7495240000</v>
      </c>
      <c r="FK32" s="32">
        <f>SUM(FK5:FK31)</f>
        <v>8147</v>
      </c>
      <c r="FL32" s="31">
        <f>SUM(FL5:FL31)</f>
        <v>1499048000</v>
      </c>
    </row>
    <row r="33" spans="39:158" x14ac:dyDescent="0.25">
      <c r="AM33" s="92" t="s">
        <v>960</v>
      </c>
      <c r="AN33" s="89"/>
      <c r="AO33" s="31">
        <f>SUM(AO5:AO32)</f>
        <v>3753600000</v>
      </c>
      <c r="AP33" s="32">
        <f>SUM(AP5:AP32)</f>
        <v>4080</v>
      </c>
      <c r="AQ33" s="31">
        <f>SUM(AQ5:AQ32)</f>
        <v>750720000</v>
      </c>
      <c r="EX33" s="88" t="s">
        <v>960</v>
      </c>
      <c r="EY33" s="89"/>
      <c r="EZ33" s="31">
        <f>SUM(EZ5:EZ32)</f>
        <v>5963440000</v>
      </c>
      <c r="FA33" s="32">
        <f>SUM(FA5:FA32)</f>
        <v>6482</v>
      </c>
      <c r="FB33" s="31">
        <f>SUM(FB5:FB32)</f>
        <v>1192688000</v>
      </c>
    </row>
  </sheetData>
  <mergeCells count="82">
    <mergeCell ref="C1:GU1"/>
    <mergeCell ref="I26:J26"/>
    <mergeCell ref="FW3:GA3"/>
    <mergeCell ref="EI3:EM3"/>
    <mergeCell ref="BB20:BC20"/>
    <mergeCell ref="FC22:FD22"/>
    <mergeCell ref="AC3:AG3"/>
    <mergeCell ref="AW3:BA3"/>
    <mergeCell ref="S23:T23"/>
    <mergeCell ref="ED18:EE18"/>
    <mergeCell ref="ES3:EW3"/>
    <mergeCell ref="DE21:DF21"/>
    <mergeCell ref="DE3:DI3"/>
    <mergeCell ref="BQ3:BU3"/>
    <mergeCell ref="EX33:EY33"/>
    <mergeCell ref="X3:AB3"/>
    <mergeCell ref="GQ22:GR22"/>
    <mergeCell ref="N29:O29"/>
    <mergeCell ref="X20:Y20"/>
    <mergeCell ref="AC19:AD19"/>
    <mergeCell ref="AR24:AS24"/>
    <mergeCell ref="DO24:DP24"/>
    <mergeCell ref="FM3:FQ3"/>
    <mergeCell ref="BL3:BP3"/>
    <mergeCell ref="FM21:FN21"/>
    <mergeCell ref="BV3:BZ3"/>
    <mergeCell ref="AM33:AN33"/>
    <mergeCell ref="GB3:GF3"/>
    <mergeCell ref="EX3:FB3"/>
    <mergeCell ref="S3:W3"/>
    <mergeCell ref="D3:H3"/>
    <mergeCell ref="FH32:FI32"/>
    <mergeCell ref="GG3:GK3"/>
    <mergeCell ref="AM3:AQ3"/>
    <mergeCell ref="C3:C4"/>
    <mergeCell ref="CA24:CB24"/>
    <mergeCell ref="AH28:AI28"/>
    <mergeCell ref="FC3:FG3"/>
    <mergeCell ref="AH3:AL3"/>
    <mergeCell ref="BB3:BF3"/>
    <mergeCell ref="CK16:CL16"/>
    <mergeCell ref="EN3:ER3"/>
    <mergeCell ref="CU25:CV25"/>
    <mergeCell ref="BG20:BH20"/>
    <mergeCell ref="DJ3:DN3"/>
    <mergeCell ref="DT3:DX3"/>
    <mergeCell ref="GQ3:GU3"/>
    <mergeCell ref="ES23:ET23"/>
    <mergeCell ref="DT17:DU17"/>
    <mergeCell ref="BV20:BW20"/>
    <mergeCell ref="BQ24:BR24"/>
    <mergeCell ref="DO3:DS3"/>
    <mergeCell ref="DY3:EC3"/>
    <mergeCell ref="GL24:GM24"/>
    <mergeCell ref="GL3:GP3"/>
    <mergeCell ref="FW21:FX21"/>
    <mergeCell ref="CP18:CQ18"/>
    <mergeCell ref="CA3:CE3"/>
    <mergeCell ref="CU3:CY3"/>
    <mergeCell ref="GG18:GH18"/>
    <mergeCell ref="GB26:GC26"/>
    <mergeCell ref="ED3:EH3"/>
    <mergeCell ref="CZ26:DA26"/>
    <mergeCell ref="CF23:CG23"/>
    <mergeCell ref="AR3:AV3"/>
    <mergeCell ref="BG3:BK3"/>
    <mergeCell ref="FR31:FS31"/>
    <mergeCell ref="DJ24:DK24"/>
    <mergeCell ref="FH3:FL3"/>
    <mergeCell ref="C29:E29"/>
    <mergeCell ref="FR3:FV3"/>
    <mergeCell ref="EN16:EO16"/>
    <mergeCell ref="BL30:BM30"/>
    <mergeCell ref="AW30:AX30"/>
    <mergeCell ref="CF3:CJ3"/>
    <mergeCell ref="CP3:CT3"/>
    <mergeCell ref="CZ3:DD3"/>
    <mergeCell ref="CK3:CO3"/>
    <mergeCell ref="DY27:DZ27"/>
    <mergeCell ref="N3:R3"/>
    <mergeCell ref="EI18:EJ18"/>
    <mergeCell ref="I3: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44"/>
  <sheetViews>
    <sheetView workbookViewId="0"/>
  </sheetViews>
  <sheetFormatPr defaultRowHeight="15" x14ac:dyDescent="0.25"/>
  <cols>
    <col min="1" max="1" width="18.140625" customWidth="1"/>
    <col min="2" max="2" width="19.85546875" customWidth="1"/>
    <col min="3" max="3" width="11" customWidth="1"/>
    <col min="4" max="4" width="11.28515625" customWidth="1"/>
    <col min="5" max="5" width="13.85546875" customWidth="1"/>
    <col min="7" max="7" width="18.5703125" customWidth="1"/>
    <col min="8" max="8" width="16.5703125" customWidth="1"/>
    <col min="13" max="13" width="18.5703125" customWidth="1"/>
    <col min="14" max="14" width="17.42578125" customWidth="1"/>
    <col min="19" max="19" width="18.85546875" customWidth="1"/>
    <col min="20" max="20" width="16.140625" customWidth="1"/>
  </cols>
  <sheetData>
    <row r="1" spans="1:23" ht="21" customHeight="1" x14ac:dyDescent="0.35">
      <c r="A1" s="100" t="s">
        <v>1533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</row>
    <row r="3" spans="1:23" x14ac:dyDescent="0.25">
      <c r="A3" s="99" t="s">
        <v>1534</v>
      </c>
      <c r="B3" s="99" t="s">
        <v>1535</v>
      </c>
      <c r="C3" s="99" t="s">
        <v>1536</v>
      </c>
      <c r="D3" s="99" t="s">
        <v>1537</v>
      </c>
      <c r="E3" s="99" t="s">
        <v>1538</v>
      </c>
      <c r="G3" s="99" t="s">
        <v>1534</v>
      </c>
      <c r="H3" s="99" t="s">
        <v>1535</v>
      </c>
      <c r="I3" s="99" t="s">
        <v>1536</v>
      </c>
      <c r="J3" s="99" t="s">
        <v>1537</v>
      </c>
      <c r="K3" s="99" t="s">
        <v>1538</v>
      </c>
      <c r="M3" s="99" t="s">
        <v>1534</v>
      </c>
      <c r="N3" s="99" t="s">
        <v>1535</v>
      </c>
      <c r="O3" s="99" t="s">
        <v>1536</v>
      </c>
      <c r="P3" s="99" t="s">
        <v>1537</v>
      </c>
      <c r="Q3" s="99" t="s">
        <v>1538</v>
      </c>
      <c r="S3" s="99" t="s">
        <v>1534</v>
      </c>
      <c r="T3" s="99" t="s">
        <v>1535</v>
      </c>
      <c r="U3" s="99" t="s">
        <v>1536</v>
      </c>
      <c r="V3" s="99" t="s">
        <v>1537</v>
      </c>
      <c r="W3" s="99" t="s">
        <v>1538</v>
      </c>
    </row>
    <row r="4" spans="1:23" x14ac:dyDescent="0.25">
      <c r="A4" s="98"/>
      <c r="B4" s="98"/>
      <c r="C4" s="98"/>
      <c r="D4" s="98"/>
      <c r="E4" s="98"/>
      <c r="G4" s="98"/>
      <c r="H4" s="98"/>
      <c r="I4" s="98"/>
      <c r="J4" s="98"/>
      <c r="K4" s="98"/>
      <c r="M4" s="98"/>
      <c r="N4" s="98"/>
      <c r="O4" s="98"/>
      <c r="P4" s="98"/>
      <c r="Q4" s="98"/>
      <c r="S4" s="98"/>
      <c r="T4" s="98"/>
      <c r="U4" s="98"/>
      <c r="V4" s="98"/>
      <c r="W4" s="98"/>
    </row>
    <row r="5" spans="1:23" x14ac:dyDescent="0.25">
      <c r="A5" s="96" t="s">
        <v>40</v>
      </c>
      <c r="B5" s="20" t="s">
        <v>1539</v>
      </c>
      <c r="C5" s="4">
        <v>10</v>
      </c>
      <c r="D5" s="4" t="s">
        <v>1540</v>
      </c>
      <c r="E5" s="4">
        <v>2024</v>
      </c>
      <c r="G5" s="96" t="s">
        <v>28</v>
      </c>
      <c r="H5" s="20" t="s">
        <v>1539</v>
      </c>
      <c r="I5" s="4">
        <v>9</v>
      </c>
      <c r="J5" s="4" t="s">
        <v>1540</v>
      </c>
      <c r="K5" s="4">
        <v>2024</v>
      </c>
      <c r="M5" s="96" t="s">
        <v>14</v>
      </c>
      <c r="N5" s="20" t="s">
        <v>1539</v>
      </c>
      <c r="O5" s="4">
        <v>17</v>
      </c>
      <c r="P5" s="4" t="s">
        <v>1540</v>
      </c>
      <c r="Q5" s="4">
        <v>2024</v>
      </c>
      <c r="S5" s="96" t="s">
        <v>8</v>
      </c>
      <c r="T5" s="20" t="s">
        <v>1539</v>
      </c>
      <c r="U5" s="4">
        <v>17</v>
      </c>
      <c r="V5" s="4" t="s">
        <v>1540</v>
      </c>
      <c r="W5" s="4">
        <v>2024</v>
      </c>
    </row>
    <row r="6" spans="1:23" x14ac:dyDescent="0.25">
      <c r="A6" s="97"/>
      <c r="B6" s="20" t="s">
        <v>1541</v>
      </c>
      <c r="C6" s="4">
        <v>2</v>
      </c>
      <c r="D6" s="4" t="s">
        <v>1540</v>
      </c>
      <c r="E6" s="4">
        <v>2024</v>
      </c>
      <c r="G6" s="97"/>
      <c r="H6" s="20" t="s">
        <v>1541</v>
      </c>
      <c r="I6" s="4">
        <v>1</v>
      </c>
      <c r="J6" s="4" t="s">
        <v>1540</v>
      </c>
      <c r="K6" s="4">
        <v>2024</v>
      </c>
      <c r="M6" s="97"/>
      <c r="N6" s="20" t="s">
        <v>1541</v>
      </c>
      <c r="O6" s="4">
        <v>15</v>
      </c>
      <c r="P6" s="4" t="s">
        <v>1540</v>
      </c>
      <c r="Q6" s="4">
        <v>2024</v>
      </c>
      <c r="S6" s="97"/>
      <c r="T6" s="20" t="s">
        <v>1541</v>
      </c>
      <c r="U6" s="4">
        <v>7</v>
      </c>
      <c r="V6" s="4" t="s">
        <v>1540</v>
      </c>
      <c r="W6" s="4">
        <v>2024</v>
      </c>
    </row>
    <row r="7" spans="1:23" x14ac:dyDescent="0.25">
      <c r="A7" s="97"/>
      <c r="B7" s="20" t="s">
        <v>1542</v>
      </c>
      <c r="C7" s="4">
        <v>66</v>
      </c>
      <c r="D7" s="4" t="s">
        <v>1540</v>
      </c>
      <c r="E7" s="4">
        <v>2024</v>
      </c>
      <c r="G7" s="97"/>
      <c r="H7" s="20" t="s">
        <v>1542</v>
      </c>
      <c r="I7" s="4">
        <v>40</v>
      </c>
      <c r="J7" s="4" t="s">
        <v>1540</v>
      </c>
      <c r="K7" s="4">
        <v>2024</v>
      </c>
      <c r="M7" s="97"/>
      <c r="N7" s="20" t="s">
        <v>1542</v>
      </c>
      <c r="O7" s="4">
        <v>124</v>
      </c>
      <c r="P7" s="4" t="s">
        <v>1540</v>
      </c>
      <c r="Q7" s="4">
        <v>2024</v>
      </c>
      <c r="S7" s="97"/>
      <c r="T7" s="20" t="s">
        <v>1542</v>
      </c>
      <c r="U7" s="4">
        <v>124</v>
      </c>
      <c r="V7" s="4" t="s">
        <v>1540</v>
      </c>
      <c r="W7" s="4">
        <v>2024</v>
      </c>
    </row>
    <row r="8" spans="1:23" x14ac:dyDescent="0.25">
      <c r="A8" s="98"/>
      <c r="B8" s="20" t="s">
        <v>1543</v>
      </c>
      <c r="C8" s="4">
        <v>2</v>
      </c>
      <c r="D8" s="4" t="s">
        <v>1540</v>
      </c>
      <c r="E8" s="4">
        <v>2024</v>
      </c>
      <c r="G8" s="98"/>
      <c r="H8" s="20" t="s">
        <v>1543</v>
      </c>
      <c r="I8" s="4">
        <v>2</v>
      </c>
      <c r="J8" s="4" t="s">
        <v>1540</v>
      </c>
      <c r="K8" s="4">
        <v>2024</v>
      </c>
      <c r="M8" s="98"/>
      <c r="N8" s="20" t="s">
        <v>1543</v>
      </c>
      <c r="O8" s="4">
        <v>6</v>
      </c>
      <c r="P8" s="4" t="s">
        <v>1540</v>
      </c>
      <c r="Q8" s="4">
        <v>2024</v>
      </c>
      <c r="S8" s="98"/>
      <c r="T8" s="20" t="s">
        <v>1543</v>
      </c>
      <c r="U8" s="4">
        <v>5</v>
      </c>
      <c r="V8" s="4" t="s">
        <v>1540</v>
      </c>
      <c r="W8" s="4">
        <v>2024</v>
      </c>
    </row>
    <row r="9" spans="1:23" x14ac:dyDescent="0.25">
      <c r="A9" s="96" t="s">
        <v>6</v>
      </c>
      <c r="B9" s="20" t="s">
        <v>1539</v>
      </c>
      <c r="C9" s="26">
        <v>11</v>
      </c>
      <c r="D9" s="4" t="s">
        <v>1540</v>
      </c>
      <c r="E9" s="4">
        <v>2024</v>
      </c>
      <c r="G9" s="96" t="s">
        <v>24</v>
      </c>
      <c r="H9" s="20" t="s">
        <v>1539</v>
      </c>
      <c r="I9" s="26">
        <v>16</v>
      </c>
      <c r="J9" s="4" t="s">
        <v>1540</v>
      </c>
      <c r="K9" s="4">
        <v>2024</v>
      </c>
      <c r="M9" s="96" t="s">
        <v>17</v>
      </c>
      <c r="N9" s="20" t="s">
        <v>1539</v>
      </c>
      <c r="O9" s="26">
        <v>15</v>
      </c>
      <c r="P9" s="4" t="s">
        <v>1540</v>
      </c>
      <c r="Q9" s="4">
        <v>2024</v>
      </c>
      <c r="S9" s="96" t="s">
        <v>30</v>
      </c>
      <c r="T9" s="20" t="s">
        <v>1539</v>
      </c>
      <c r="U9" s="26">
        <v>12</v>
      </c>
      <c r="V9" s="4" t="s">
        <v>1540</v>
      </c>
      <c r="W9" s="4">
        <v>2024</v>
      </c>
    </row>
    <row r="10" spans="1:23" x14ac:dyDescent="0.25">
      <c r="A10" s="97"/>
      <c r="B10" s="20" t="s">
        <v>1541</v>
      </c>
      <c r="C10" s="26">
        <v>5</v>
      </c>
      <c r="D10" s="4" t="s">
        <v>1540</v>
      </c>
      <c r="E10" s="4">
        <v>2024</v>
      </c>
      <c r="G10" s="97"/>
      <c r="H10" s="20" t="s">
        <v>1541</v>
      </c>
      <c r="I10" s="26">
        <v>9</v>
      </c>
      <c r="J10" s="4" t="s">
        <v>1540</v>
      </c>
      <c r="K10" s="4">
        <v>2024</v>
      </c>
      <c r="M10" s="97"/>
      <c r="N10" s="20" t="s">
        <v>1541</v>
      </c>
      <c r="O10" s="26">
        <v>4</v>
      </c>
      <c r="P10" s="4" t="s">
        <v>1540</v>
      </c>
      <c r="Q10" s="4">
        <v>2024</v>
      </c>
      <c r="S10" s="97"/>
      <c r="T10" s="20" t="s">
        <v>1541</v>
      </c>
      <c r="U10" s="26">
        <v>2</v>
      </c>
      <c r="V10" s="4" t="s">
        <v>1540</v>
      </c>
      <c r="W10" s="4">
        <v>2024</v>
      </c>
    </row>
    <row r="11" spans="1:23" x14ac:dyDescent="0.25">
      <c r="A11" s="97"/>
      <c r="B11" s="20" t="s">
        <v>1542</v>
      </c>
      <c r="C11" s="26">
        <v>98</v>
      </c>
      <c r="D11" s="4" t="s">
        <v>1540</v>
      </c>
      <c r="E11" s="4">
        <v>2024</v>
      </c>
      <c r="G11" s="97"/>
      <c r="H11" s="20" t="s">
        <v>1542</v>
      </c>
      <c r="I11" s="26">
        <v>79</v>
      </c>
      <c r="J11" s="4" t="s">
        <v>1540</v>
      </c>
      <c r="K11" s="4">
        <v>2024</v>
      </c>
      <c r="M11" s="97"/>
      <c r="N11" s="20" t="s">
        <v>1542</v>
      </c>
      <c r="O11" s="26">
        <v>51</v>
      </c>
      <c r="P11" s="4" t="s">
        <v>1540</v>
      </c>
      <c r="Q11" s="4">
        <v>2024</v>
      </c>
      <c r="S11" s="97"/>
      <c r="T11" s="20" t="s">
        <v>1542</v>
      </c>
      <c r="U11" s="26">
        <v>42</v>
      </c>
      <c r="V11" s="4" t="s">
        <v>1540</v>
      </c>
      <c r="W11" s="4">
        <v>2024</v>
      </c>
    </row>
    <row r="12" spans="1:23" x14ac:dyDescent="0.25">
      <c r="A12" s="98"/>
      <c r="B12" s="20" t="s">
        <v>1543</v>
      </c>
      <c r="C12" s="26">
        <v>3</v>
      </c>
      <c r="D12" s="4" t="s">
        <v>1540</v>
      </c>
      <c r="E12" s="4">
        <v>2024</v>
      </c>
      <c r="G12" s="98"/>
      <c r="H12" s="20" t="s">
        <v>1543</v>
      </c>
      <c r="I12" s="26">
        <v>2</v>
      </c>
      <c r="J12" s="4" t="s">
        <v>1540</v>
      </c>
      <c r="K12" s="4">
        <v>2024</v>
      </c>
      <c r="M12" s="98"/>
      <c r="N12" s="20" t="s">
        <v>1543</v>
      </c>
      <c r="O12" s="26">
        <v>2</v>
      </c>
      <c r="P12" s="4" t="s">
        <v>1540</v>
      </c>
      <c r="Q12" s="4">
        <v>2024</v>
      </c>
      <c r="S12" s="98"/>
      <c r="T12" s="20" t="s">
        <v>1543</v>
      </c>
      <c r="U12" s="26">
        <v>1</v>
      </c>
      <c r="V12" s="4" t="s">
        <v>1540</v>
      </c>
      <c r="W12" s="4">
        <v>2024</v>
      </c>
    </row>
    <row r="13" spans="1:23" x14ac:dyDescent="0.25">
      <c r="A13" s="96" t="s">
        <v>23</v>
      </c>
      <c r="B13" s="20" t="s">
        <v>1539</v>
      </c>
      <c r="C13" s="26">
        <v>11</v>
      </c>
      <c r="D13" s="4" t="s">
        <v>1540</v>
      </c>
      <c r="E13" s="4">
        <v>2024</v>
      </c>
      <c r="G13" s="96" t="s">
        <v>5</v>
      </c>
      <c r="H13" s="20" t="s">
        <v>1539</v>
      </c>
      <c r="I13" s="26">
        <v>14</v>
      </c>
      <c r="J13" s="4" t="s">
        <v>1540</v>
      </c>
      <c r="K13" s="4">
        <v>2024</v>
      </c>
      <c r="M13" s="96" t="s">
        <v>21</v>
      </c>
      <c r="N13" s="20" t="s">
        <v>1539</v>
      </c>
      <c r="O13" s="26">
        <v>15</v>
      </c>
      <c r="P13" s="4" t="s">
        <v>1540</v>
      </c>
      <c r="Q13" s="4">
        <v>2024</v>
      </c>
      <c r="S13" s="96" t="s">
        <v>26</v>
      </c>
      <c r="T13" s="20" t="s">
        <v>1539</v>
      </c>
      <c r="U13" s="26">
        <v>7</v>
      </c>
      <c r="V13" s="4" t="s">
        <v>1540</v>
      </c>
      <c r="W13" s="4">
        <v>2024</v>
      </c>
    </row>
    <row r="14" spans="1:23" x14ac:dyDescent="0.25">
      <c r="A14" s="97"/>
      <c r="B14" s="20" t="s">
        <v>1541</v>
      </c>
      <c r="C14" s="26">
        <v>1</v>
      </c>
      <c r="D14" s="4" t="s">
        <v>1540</v>
      </c>
      <c r="E14" s="4">
        <v>2024</v>
      </c>
      <c r="G14" s="97"/>
      <c r="H14" s="20" t="s">
        <v>1541</v>
      </c>
      <c r="I14" s="26">
        <v>14</v>
      </c>
      <c r="J14" s="4" t="s">
        <v>1540</v>
      </c>
      <c r="K14" s="4">
        <v>2024</v>
      </c>
      <c r="M14" s="97"/>
      <c r="N14" s="20" t="s">
        <v>1541</v>
      </c>
      <c r="O14" s="26">
        <v>5</v>
      </c>
      <c r="P14" s="4" t="s">
        <v>1540</v>
      </c>
      <c r="Q14" s="4">
        <v>2024</v>
      </c>
      <c r="S14" s="97"/>
      <c r="T14" s="20" t="s">
        <v>1541</v>
      </c>
      <c r="U14" s="26">
        <v>1</v>
      </c>
      <c r="V14" s="4" t="s">
        <v>1540</v>
      </c>
      <c r="W14" s="4">
        <v>2024</v>
      </c>
    </row>
    <row r="15" spans="1:23" x14ac:dyDescent="0.25">
      <c r="A15" s="97"/>
      <c r="B15" s="20" t="s">
        <v>1542</v>
      </c>
      <c r="C15" s="26">
        <v>63</v>
      </c>
      <c r="D15" s="4" t="s">
        <v>1540</v>
      </c>
      <c r="E15" s="4">
        <v>2024</v>
      </c>
      <c r="G15" s="97"/>
      <c r="H15" s="20" t="s">
        <v>1542</v>
      </c>
      <c r="I15" s="26">
        <v>102</v>
      </c>
      <c r="J15" s="4" t="s">
        <v>1540</v>
      </c>
      <c r="K15" s="4">
        <v>2024</v>
      </c>
      <c r="M15" s="97"/>
      <c r="N15" s="20" t="s">
        <v>1542</v>
      </c>
      <c r="O15" s="26">
        <v>79</v>
      </c>
      <c r="P15" s="4" t="s">
        <v>1540</v>
      </c>
      <c r="Q15" s="4">
        <v>2024</v>
      </c>
      <c r="S15" s="97"/>
      <c r="T15" s="20" t="s">
        <v>1542</v>
      </c>
      <c r="U15" s="26">
        <v>44</v>
      </c>
      <c r="V15" s="4" t="s">
        <v>1540</v>
      </c>
      <c r="W15" s="4">
        <v>2024</v>
      </c>
    </row>
    <row r="16" spans="1:23" x14ac:dyDescent="0.25">
      <c r="A16" s="98"/>
      <c r="B16" s="20" t="s">
        <v>1543</v>
      </c>
      <c r="C16" s="26">
        <v>4</v>
      </c>
      <c r="D16" s="4" t="s">
        <v>1540</v>
      </c>
      <c r="E16" s="4">
        <v>2024</v>
      </c>
      <c r="G16" s="98"/>
      <c r="H16" s="20" t="s">
        <v>1543</v>
      </c>
      <c r="I16" s="26">
        <v>6</v>
      </c>
      <c r="J16" s="4" t="s">
        <v>1540</v>
      </c>
      <c r="K16" s="4">
        <v>2024</v>
      </c>
      <c r="M16" s="98"/>
      <c r="N16" s="20" t="s">
        <v>1543</v>
      </c>
      <c r="O16" s="26">
        <v>6</v>
      </c>
      <c r="P16" s="4" t="s">
        <v>1540</v>
      </c>
      <c r="Q16" s="4">
        <v>2024</v>
      </c>
      <c r="S16" s="98"/>
      <c r="T16" s="20" t="s">
        <v>1543</v>
      </c>
      <c r="U16" s="26">
        <v>3</v>
      </c>
      <c r="V16" s="4" t="s">
        <v>1540</v>
      </c>
      <c r="W16" s="4">
        <v>2024</v>
      </c>
    </row>
    <row r="17" spans="1:23" x14ac:dyDescent="0.25">
      <c r="A17" s="96" t="s">
        <v>25</v>
      </c>
      <c r="B17" s="20" t="s">
        <v>1539</v>
      </c>
      <c r="C17" s="26">
        <v>11</v>
      </c>
      <c r="D17" s="4" t="s">
        <v>1540</v>
      </c>
      <c r="E17" s="4">
        <v>2024</v>
      </c>
      <c r="G17" s="96" t="s">
        <v>38</v>
      </c>
      <c r="H17" s="20" t="s">
        <v>1539</v>
      </c>
      <c r="I17" s="26">
        <v>19</v>
      </c>
      <c r="J17" s="4" t="s">
        <v>1540</v>
      </c>
      <c r="K17" s="4">
        <v>2024</v>
      </c>
      <c r="M17" s="96" t="s">
        <v>2</v>
      </c>
      <c r="N17" s="20" t="s">
        <v>1539</v>
      </c>
      <c r="O17" s="26">
        <v>23</v>
      </c>
      <c r="P17" s="4" t="s">
        <v>1540</v>
      </c>
      <c r="Q17" s="4">
        <v>2024</v>
      </c>
      <c r="S17" s="96" t="s">
        <v>19</v>
      </c>
      <c r="T17" s="20" t="s">
        <v>1539</v>
      </c>
      <c r="U17" s="26">
        <v>8</v>
      </c>
      <c r="V17" s="4" t="s">
        <v>1540</v>
      </c>
      <c r="W17" s="4">
        <v>2024</v>
      </c>
    </row>
    <row r="18" spans="1:23" x14ac:dyDescent="0.25">
      <c r="A18" s="97"/>
      <c r="B18" s="20" t="s">
        <v>1541</v>
      </c>
      <c r="C18" s="26">
        <v>4</v>
      </c>
      <c r="D18" s="4" t="s">
        <v>1540</v>
      </c>
      <c r="E18" s="4">
        <v>2024</v>
      </c>
      <c r="G18" s="97"/>
      <c r="H18" s="20" t="s">
        <v>1541</v>
      </c>
      <c r="I18" s="26">
        <v>13</v>
      </c>
      <c r="J18" s="4" t="s">
        <v>1540</v>
      </c>
      <c r="K18" s="4">
        <v>2024</v>
      </c>
      <c r="M18" s="97"/>
      <c r="N18" s="20" t="s">
        <v>1541</v>
      </c>
      <c r="O18" s="26">
        <v>8</v>
      </c>
      <c r="P18" s="4" t="s">
        <v>1540</v>
      </c>
      <c r="Q18" s="4">
        <v>2024</v>
      </c>
      <c r="S18" s="97"/>
      <c r="T18" s="20" t="s">
        <v>1541</v>
      </c>
      <c r="U18" s="26">
        <v>0</v>
      </c>
      <c r="V18" s="4" t="s">
        <v>1540</v>
      </c>
      <c r="W18" s="4">
        <v>2024</v>
      </c>
    </row>
    <row r="19" spans="1:23" x14ac:dyDescent="0.25">
      <c r="A19" s="97"/>
      <c r="B19" s="20" t="s">
        <v>1542</v>
      </c>
      <c r="C19" s="26">
        <v>80</v>
      </c>
      <c r="D19" s="4" t="s">
        <v>1540</v>
      </c>
      <c r="E19" s="4">
        <v>2024</v>
      </c>
      <c r="G19" s="97"/>
      <c r="H19" s="20" t="s">
        <v>1542</v>
      </c>
      <c r="I19" s="26">
        <v>122</v>
      </c>
      <c r="J19" s="4" t="s">
        <v>1540</v>
      </c>
      <c r="K19" s="4">
        <v>2024</v>
      </c>
      <c r="M19" s="97"/>
      <c r="N19" s="20" t="s">
        <v>1542</v>
      </c>
      <c r="O19" s="26">
        <v>135</v>
      </c>
      <c r="P19" s="4" t="s">
        <v>1540</v>
      </c>
      <c r="Q19" s="4">
        <v>2024</v>
      </c>
      <c r="S19" s="97"/>
      <c r="T19" s="20" t="s">
        <v>1542</v>
      </c>
      <c r="U19" s="26">
        <v>36</v>
      </c>
      <c r="V19" s="4" t="s">
        <v>1540</v>
      </c>
      <c r="W19" s="4">
        <v>2024</v>
      </c>
    </row>
    <row r="20" spans="1:23" x14ac:dyDescent="0.25">
      <c r="A20" s="98"/>
      <c r="B20" s="20" t="s">
        <v>1543</v>
      </c>
      <c r="C20" s="26">
        <v>3</v>
      </c>
      <c r="D20" s="4" t="s">
        <v>1540</v>
      </c>
      <c r="E20" s="4">
        <v>2024</v>
      </c>
      <c r="G20" s="98"/>
      <c r="H20" s="20" t="s">
        <v>1543</v>
      </c>
      <c r="I20" s="26">
        <v>8</v>
      </c>
      <c r="J20" s="4" t="s">
        <v>1540</v>
      </c>
      <c r="K20" s="4">
        <v>2024</v>
      </c>
      <c r="M20" s="98"/>
      <c r="N20" s="20" t="s">
        <v>1543</v>
      </c>
      <c r="O20" s="26">
        <v>11</v>
      </c>
      <c r="P20" s="4" t="s">
        <v>1540</v>
      </c>
      <c r="Q20" s="4">
        <v>2024</v>
      </c>
      <c r="S20" s="98"/>
      <c r="T20" s="20" t="s">
        <v>1543</v>
      </c>
      <c r="U20" s="26">
        <v>0</v>
      </c>
      <c r="V20" s="4" t="s">
        <v>1540</v>
      </c>
      <c r="W20" s="4">
        <v>2024</v>
      </c>
    </row>
    <row r="21" spans="1:23" x14ac:dyDescent="0.25">
      <c r="A21" s="96" t="s">
        <v>4</v>
      </c>
      <c r="B21" s="20" t="s">
        <v>1539</v>
      </c>
      <c r="C21" s="26">
        <v>15</v>
      </c>
      <c r="D21" s="4" t="s">
        <v>1540</v>
      </c>
      <c r="E21" s="4">
        <v>2024</v>
      </c>
      <c r="G21" s="96" t="s">
        <v>34</v>
      </c>
      <c r="H21" s="20" t="s">
        <v>1539</v>
      </c>
      <c r="I21" s="26">
        <v>23</v>
      </c>
      <c r="J21" s="4" t="s">
        <v>1540</v>
      </c>
      <c r="K21" s="4">
        <v>2024</v>
      </c>
      <c r="M21" s="96" t="s">
        <v>29</v>
      </c>
      <c r="N21" s="20" t="s">
        <v>1539</v>
      </c>
      <c r="O21" s="26">
        <v>11</v>
      </c>
      <c r="P21" s="4" t="s">
        <v>1540</v>
      </c>
      <c r="Q21" s="4">
        <v>2024</v>
      </c>
      <c r="S21" s="96" t="s">
        <v>1544</v>
      </c>
      <c r="T21" s="20" t="s">
        <v>1539</v>
      </c>
      <c r="U21" s="26">
        <v>6</v>
      </c>
      <c r="V21" s="4" t="s">
        <v>1540</v>
      </c>
      <c r="W21" s="4">
        <v>2024</v>
      </c>
    </row>
    <row r="22" spans="1:23" x14ac:dyDescent="0.25">
      <c r="A22" s="97"/>
      <c r="B22" s="20" t="s">
        <v>1541</v>
      </c>
      <c r="C22" s="26">
        <v>5</v>
      </c>
      <c r="D22" s="4" t="s">
        <v>1540</v>
      </c>
      <c r="E22" s="4">
        <v>2024</v>
      </c>
      <c r="G22" s="97"/>
      <c r="H22" s="20" t="s">
        <v>1541</v>
      </c>
      <c r="I22" s="26">
        <v>24</v>
      </c>
      <c r="J22" s="4" t="s">
        <v>1540</v>
      </c>
      <c r="K22" s="4">
        <v>2024</v>
      </c>
      <c r="M22" s="97"/>
      <c r="N22" s="20" t="s">
        <v>1541</v>
      </c>
      <c r="O22" s="26">
        <v>3</v>
      </c>
      <c r="P22" s="4" t="s">
        <v>1540</v>
      </c>
      <c r="Q22" s="4">
        <v>2024</v>
      </c>
      <c r="S22" s="97"/>
      <c r="T22" s="20" t="s">
        <v>1541</v>
      </c>
      <c r="U22" s="26">
        <v>6</v>
      </c>
      <c r="V22" s="4" t="s">
        <v>1540</v>
      </c>
      <c r="W22" s="4">
        <v>2024</v>
      </c>
    </row>
    <row r="23" spans="1:23" x14ac:dyDescent="0.25">
      <c r="A23" s="97"/>
      <c r="B23" s="20" t="s">
        <v>1542</v>
      </c>
      <c r="C23" s="26">
        <v>111</v>
      </c>
      <c r="D23" s="4" t="s">
        <v>1540</v>
      </c>
      <c r="E23" s="4">
        <v>2024</v>
      </c>
      <c r="G23" s="97"/>
      <c r="H23" s="20" t="s">
        <v>1542</v>
      </c>
      <c r="I23" s="26">
        <v>245</v>
      </c>
      <c r="J23" s="4" t="s">
        <v>1540</v>
      </c>
      <c r="K23" s="4">
        <v>2024</v>
      </c>
      <c r="M23" s="97"/>
      <c r="N23" s="20" t="s">
        <v>1542</v>
      </c>
      <c r="O23" s="26">
        <v>61</v>
      </c>
      <c r="P23" s="4" t="s">
        <v>1540</v>
      </c>
      <c r="Q23" s="4">
        <v>2024</v>
      </c>
      <c r="S23" s="97"/>
      <c r="T23" s="20" t="s">
        <v>1542</v>
      </c>
      <c r="U23" s="26">
        <v>76</v>
      </c>
      <c r="V23" s="4" t="s">
        <v>1540</v>
      </c>
      <c r="W23" s="4">
        <v>2024</v>
      </c>
    </row>
    <row r="24" spans="1:23" x14ac:dyDescent="0.25">
      <c r="A24" s="98"/>
      <c r="B24" s="20" t="s">
        <v>1543</v>
      </c>
      <c r="C24" s="26">
        <v>8</v>
      </c>
      <c r="D24" s="4" t="s">
        <v>1540</v>
      </c>
      <c r="E24" s="4">
        <v>2024</v>
      </c>
      <c r="G24" s="98"/>
      <c r="H24" s="20" t="s">
        <v>1543</v>
      </c>
      <c r="I24" s="26">
        <v>19</v>
      </c>
      <c r="J24" s="4" t="s">
        <v>1540</v>
      </c>
      <c r="K24" s="4">
        <v>2024</v>
      </c>
      <c r="M24" s="98"/>
      <c r="N24" s="20" t="s">
        <v>1543</v>
      </c>
      <c r="O24" s="26">
        <v>2</v>
      </c>
      <c r="P24" s="4" t="s">
        <v>1540</v>
      </c>
      <c r="Q24" s="4">
        <v>2024</v>
      </c>
      <c r="S24" s="98"/>
      <c r="T24" s="20" t="s">
        <v>1543</v>
      </c>
      <c r="U24" s="26">
        <v>3</v>
      </c>
      <c r="V24" s="4" t="s">
        <v>1540</v>
      </c>
      <c r="W24" s="4">
        <v>2024</v>
      </c>
    </row>
    <row r="25" spans="1:23" x14ac:dyDescent="0.25">
      <c r="A25" s="96" t="s">
        <v>18</v>
      </c>
      <c r="B25" s="20" t="s">
        <v>1539</v>
      </c>
      <c r="C25" s="26">
        <v>12</v>
      </c>
      <c r="D25" s="4" t="s">
        <v>1540</v>
      </c>
      <c r="E25" s="4">
        <v>2024</v>
      </c>
      <c r="G25" s="96" t="s">
        <v>9</v>
      </c>
      <c r="H25" s="20" t="s">
        <v>1539</v>
      </c>
      <c r="I25" s="26">
        <v>18</v>
      </c>
      <c r="J25" s="4" t="s">
        <v>1540</v>
      </c>
      <c r="K25" s="4">
        <v>2024</v>
      </c>
      <c r="M25" s="96" t="s">
        <v>7</v>
      </c>
      <c r="N25" s="20" t="s">
        <v>1539</v>
      </c>
      <c r="O25" s="26">
        <v>12</v>
      </c>
      <c r="P25" s="4" t="s">
        <v>1540</v>
      </c>
      <c r="Q25" s="4">
        <v>2024</v>
      </c>
      <c r="S25" s="96" t="s">
        <v>31</v>
      </c>
      <c r="T25" s="20" t="s">
        <v>1539</v>
      </c>
      <c r="U25" s="26">
        <v>16</v>
      </c>
      <c r="V25" s="4" t="s">
        <v>1540</v>
      </c>
      <c r="W25" s="4">
        <v>2024</v>
      </c>
    </row>
    <row r="26" spans="1:23" x14ac:dyDescent="0.25">
      <c r="A26" s="97"/>
      <c r="B26" s="20" t="s">
        <v>1541</v>
      </c>
      <c r="C26" s="26">
        <v>2</v>
      </c>
      <c r="D26" s="4" t="s">
        <v>1540</v>
      </c>
      <c r="E26" s="4">
        <v>2024</v>
      </c>
      <c r="G26" s="97"/>
      <c r="H26" s="20" t="s">
        <v>1541</v>
      </c>
      <c r="I26" s="26">
        <v>16</v>
      </c>
      <c r="J26" s="4" t="s">
        <v>1540</v>
      </c>
      <c r="K26" s="4">
        <v>2024</v>
      </c>
      <c r="M26" s="97"/>
      <c r="N26" s="20" t="s">
        <v>1541</v>
      </c>
      <c r="O26" s="26">
        <v>4</v>
      </c>
      <c r="P26" s="4" t="s">
        <v>1540</v>
      </c>
      <c r="Q26" s="4">
        <v>2024</v>
      </c>
      <c r="S26" s="97"/>
      <c r="T26" s="20" t="s">
        <v>1541</v>
      </c>
      <c r="U26" s="26">
        <v>9</v>
      </c>
      <c r="V26" s="4" t="s">
        <v>1540</v>
      </c>
      <c r="W26" s="4">
        <v>2024</v>
      </c>
    </row>
    <row r="27" spans="1:23" x14ac:dyDescent="0.25">
      <c r="A27" s="97"/>
      <c r="B27" s="20" t="s">
        <v>1542</v>
      </c>
      <c r="C27" s="26">
        <v>73</v>
      </c>
      <c r="D27" s="4" t="s">
        <v>1540</v>
      </c>
      <c r="E27" s="4">
        <v>2024</v>
      </c>
      <c r="G27" s="97"/>
      <c r="H27" s="20" t="s">
        <v>1542</v>
      </c>
      <c r="I27" s="26">
        <v>118</v>
      </c>
      <c r="J27" s="4" t="s">
        <v>1540</v>
      </c>
      <c r="K27" s="4">
        <v>2024</v>
      </c>
      <c r="M27" s="97"/>
      <c r="N27" s="20" t="s">
        <v>1542</v>
      </c>
      <c r="O27" s="26">
        <v>55</v>
      </c>
      <c r="P27" s="4" t="s">
        <v>1540</v>
      </c>
      <c r="Q27" s="4">
        <v>2024</v>
      </c>
      <c r="S27" s="97"/>
      <c r="T27" s="20" t="s">
        <v>1542</v>
      </c>
      <c r="U27" s="26">
        <v>108</v>
      </c>
      <c r="V27" s="4" t="s">
        <v>1540</v>
      </c>
      <c r="W27" s="4">
        <v>2024</v>
      </c>
    </row>
    <row r="28" spans="1:23" x14ac:dyDescent="0.25">
      <c r="A28" s="98"/>
      <c r="B28" s="20" t="s">
        <v>1543</v>
      </c>
      <c r="C28" s="26">
        <v>2</v>
      </c>
      <c r="D28" s="4" t="s">
        <v>1540</v>
      </c>
      <c r="E28" s="4">
        <v>2024</v>
      </c>
      <c r="G28" s="98"/>
      <c r="H28" s="20" t="s">
        <v>1543</v>
      </c>
      <c r="I28" s="26">
        <v>3</v>
      </c>
      <c r="J28" s="4" t="s">
        <v>1540</v>
      </c>
      <c r="K28" s="4">
        <v>2024</v>
      </c>
      <c r="M28" s="98"/>
      <c r="N28" s="20" t="s">
        <v>1543</v>
      </c>
      <c r="O28" s="26">
        <v>6</v>
      </c>
      <c r="P28" s="4" t="s">
        <v>1540</v>
      </c>
      <c r="Q28" s="4">
        <v>2024</v>
      </c>
      <c r="S28" s="98"/>
      <c r="T28" s="20" t="s">
        <v>1543</v>
      </c>
      <c r="U28" s="26">
        <v>7</v>
      </c>
      <c r="V28" s="4" t="s">
        <v>1540</v>
      </c>
      <c r="W28" s="4">
        <v>2024</v>
      </c>
    </row>
    <row r="29" spans="1:23" x14ac:dyDescent="0.25">
      <c r="A29" s="96" t="s">
        <v>22</v>
      </c>
      <c r="B29" s="20" t="s">
        <v>1539</v>
      </c>
      <c r="C29" s="26">
        <v>17</v>
      </c>
      <c r="D29" s="4" t="s">
        <v>1540</v>
      </c>
      <c r="E29" s="4">
        <v>2024</v>
      </c>
      <c r="G29" s="96" t="s">
        <v>27</v>
      </c>
      <c r="H29" s="20" t="s">
        <v>1539</v>
      </c>
      <c r="I29" s="26">
        <v>16</v>
      </c>
      <c r="J29" s="4" t="s">
        <v>1540</v>
      </c>
      <c r="K29" s="4">
        <v>2024</v>
      </c>
      <c r="M29" s="96" t="s">
        <v>36</v>
      </c>
      <c r="N29" s="20" t="s">
        <v>1539</v>
      </c>
      <c r="O29" s="26">
        <v>16</v>
      </c>
      <c r="P29" s="4" t="s">
        <v>1540</v>
      </c>
      <c r="Q29" s="4">
        <v>2024</v>
      </c>
      <c r="S29" s="96" t="s">
        <v>12</v>
      </c>
      <c r="T29" s="20" t="s">
        <v>1539</v>
      </c>
      <c r="U29" s="26">
        <v>11</v>
      </c>
      <c r="V29" s="4" t="s">
        <v>1540</v>
      </c>
      <c r="W29" s="4">
        <v>2024</v>
      </c>
    </row>
    <row r="30" spans="1:23" x14ac:dyDescent="0.25">
      <c r="A30" s="97"/>
      <c r="B30" s="20" t="s">
        <v>1541</v>
      </c>
      <c r="C30" s="26">
        <v>9</v>
      </c>
      <c r="D30" s="4" t="s">
        <v>1540</v>
      </c>
      <c r="E30" s="4">
        <v>2024</v>
      </c>
      <c r="G30" s="97"/>
      <c r="H30" s="20" t="s">
        <v>1541</v>
      </c>
      <c r="I30" s="26">
        <v>10</v>
      </c>
      <c r="J30" s="4" t="s">
        <v>1540</v>
      </c>
      <c r="K30" s="4">
        <v>2024</v>
      </c>
      <c r="M30" s="97"/>
      <c r="N30" s="20" t="s">
        <v>1541</v>
      </c>
      <c r="O30" s="26">
        <v>9</v>
      </c>
      <c r="P30" s="4" t="s">
        <v>1540</v>
      </c>
      <c r="Q30" s="4">
        <v>2024</v>
      </c>
      <c r="S30" s="97"/>
      <c r="T30" s="20" t="s">
        <v>1541</v>
      </c>
      <c r="U30" s="26">
        <v>5</v>
      </c>
      <c r="V30" s="4" t="s">
        <v>1540</v>
      </c>
      <c r="W30" s="4">
        <v>2024</v>
      </c>
    </row>
    <row r="31" spans="1:23" x14ac:dyDescent="0.25">
      <c r="A31" s="97"/>
      <c r="B31" s="20" t="s">
        <v>1542</v>
      </c>
      <c r="C31" s="26">
        <v>115</v>
      </c>
      <c r="D31" s="4" t="s">
        <v>1540</v>
      </c>
      <c r="E31" s="4">
        <v>2024</v>
      </c>
      <c r="G31" s="97"/>
      <c r="H31" s="20" t="s">
        <v>1542</v>
      </c>
      <c r="I31" s="26">
        <v>101</v>
      </c>
      <c r="J31" s="4" t="s">
        <v>1540</v>
      </c>
      <c r="K31" s="4">
        <v>2024</v>
      </c>
      <c r="M31" s="97"/>
      <c r="N31" s="20" t="s">
        <v>1542</v>
      </c>
      <c r="O31" s="26">
        <v>88</v>
      </c>
      <c r="P31" s="4" t="s">
        <v>1540</v>
      </c>
      <c r="Q31" s="4">
        <v>2024</v>
      </c>
      <c r="S31" s="97"/>
      <c r="T31" s="20" t="s">
        <v>1542</v>
      </c>
      <c r="U31" s="26">
        <v>64</v>
      </c>
      <c r="V31" s="4" t="s">
        <v>1540</v>
      </c>
      <c r="W31" s="4">
        <v>2024</v>
      </c>
    </row>
    <row r="32" spans="1:23" x14ac:dyDescent="0.25">
      <c r="A32" s="98"/>
      <c r="B32" s="20" t="s">
        <v>1543</v>
      </c>
      <c r="C32" s="26">
        <v>5</v>
      </c>
      <c r="D32" s="4" t="s">
        <v>1540</v>
      </c>
      <c r="E32" s="4">
        <v>2024</v>
      </c>
      <c r="G32" s="98"/>
      <c r="H32" s="20" t="s">
        <v>1543</v>
      </c>
      <c r="I32" s="26">
        <v>4</v>
      </c>
      <c r="J32" s="4" t="s">
        <v>1540</v>
      </c>
      <c r="K32" s="4">
        <v>2024</v>
      </c>
      <c r="M32" s="98"/>
      <c r="N32" s="20" t="s">
        <v>1543</v>
      </c>
      <c r="O32" s="26">
        <v>2</v>
      </c>
      <c r="P32" s="4" t="s">
        <v>1540</v>
      </c>
      <c r="Q32" s="4">
        <v>2024</v>
      </c>
      <c r="S32" s="98"/>
      <c r="T32" s="20" t="s">
        <v>1543</v>
      </c>
      <c r="U32" s="26">
        <v>1</v>
      </c>
      <c r="V32" s="4" t="s">
        <v>1540</v>
      </c>
      <c r="W32" s="4">
        <v>2024</v>
      </c>
    </row>
    <row r="33" spans="1:23" x14ac:dyDescent="0.25">
      <c r="A33" s="96" t="s">
        <v>37</v>
      </c>
      <c r="B33" s="20" t="s">
        <v>1539</v>
      </c>
      <c r="C33" s="26">
        <v>11</v>
      </c>
      <c r="D33" s="4" t="s">
        <v>1540</v>
      </c>
      <c r="E33" s="4">
        <v>2024</v>
      </c>
      <c r="G33" s="96" t="s">
        <v>32</v>
      </c>
      <c r="H33" s="20" t="s">
        <v>1539</v>
      </c>
      <c r="I33" s="26">
        <v>23</v>
      </c>
      <c r="J33" s="4" t="s">
        <v>1540</v>
      </c>
      <c r="K33" s="4">
        <v>2024</v>
      </c>
      <c r="M33" s="96" t="s">
        <v>11</v>
      </c>
      <c r="N33" s="20" t="s">
        <v>1539</v>
      </c>
      <c r="O33" s="26">
        <v>15</v>
      </c>
      <c r="P33" s="4" t="s">
        <v>1540</v>
      </c>
      <c r="Q33" s="4">
        <v>2024</v>
      </c>
      <c r="S33" s="96" t="s">
        <v>13</v>
      </c>
      <c r="T33" s="20" t="s">
        <v>1539</v>
      </c>
      <c r="U33" s="26">
        <v>14</v>
      </c>
      <c r="V33" s="4" t="s">
        <v>1540</v>
      </c>
      <c r="W33" s="4">
        <v>2024</v>
      </c>
    </row>
    <row r="34" spans="1:23" x14ac:dyDescent="0.25">
      <c r="A34" s="97"/>
      <c r="B34" s="20" t="s">
        <v>1541</v>
      </c>
      <c r="C34" s="26">
        <v>0</v>
      </c>
      <c r="D34" s="4" t="s">
        <v>1540</v>
      </c>
      <c r="E34" s="4">
        <v>2024</v>
      </c>
      <c r="G34" s="97"/>
      <c r="H34" s="20" t="s">
        <v>1541</v>
      </c>
      <c r="I34" s="26">
        <v>13</v>
      </c>
      <c r="J34" s="4" t="s">
        <v>1540</v>
      </c>
      <c r="K34" s="4">
        <v>2024</v>
      </c>
      <c r="M34" s="97"/>
      <c r="N34" s="20" t="s">
        <v>1541</v>
      </c>
      <c r="O34" s="26">
        <v>10</v>
      </c>
      <c r="P34" s="4" t="s">
        <v>1540</v>
      </c>
      <c r="Q34" s="4">
        <v>2024</v>
      </c>
      <c r="S34" s="97"/>
      <c r="T34" s="20" t="s">
        <v>1541</v>
      </c>
      <c r="U34" s="26">
        <v>9</v>
      </c>
      <c r="V34" s="4" t="s">
        <v>1540</v>
      </c>
      <c r="W34" s="4">
        <v>2024</v>
      </c>
    </row>
    <row r="35" spans="1:23" x14ac:dyDescent="0.25">
      <c r="A35" s="97"/>
      <c r="B35" s="20" t="s">
        <v>1542</v>
      </c>
      <c r="C35" s="26">
        <v>50</v>
      </c>
      <c r="D35" s="4" t="s">
        <v>1540</v>
      </c>
      <c r="E35" s="4">
        <v>2024</v>
      </c>
      <c r="G35" s="97"/>
      <c r="H35" s="20" t="s">
        <v>1542</v>
      </c>
      <c r="I35" s="26">
        <v>150</v>
      </c>
      <c r="J35" s="4" t="s">
        <v>1540</v>
      </c>
      <c r="K35" s="4">
        <v>2024</v>
      </c>
      <c r="M35" s="97"/>
      <c r="N35" s="20" t="s">
        <v>1542</v>
      </c>
      <c r="O35" s="26">
        <v>113</v>
      </c>
      <c r="P35" s="4" t="s">
        <v>1540</v>
      </c>
      <c r="Q35" s="4">
        <v>2024</v>
      </c>
      <c r="S35" s="97"/>
      <c r="T35" s="20" t="s">
        <v>1542</v>
      </c>
      <c r="U35" s="26">
        <v>83</v>
      </c>
      <c r="V35" s="4" t="s">
        <v>1540</v>
      </c>
      <c r="W35" s="4">
        <v>2024</v>
      </c>
    </row>
    <row r="36" spans="1:23" x14ac:dyDescent="0.25">
      <c r="A36" s="98"/>
      <c r="B36" s="20" t="s">
        <v>1543</v>
      </c>
      <c r="C36" s="26">
        <v>4</v>
      </c>
      <c r="D36" s="4" t="s">
        <v>1540</v>
      </c>
      <c r="E36" s="4">
        <v>2024</v>
      </c>
      <c r="G36" s="98"/>
      <c r="H36" s="20" t="s">
        <v>1543</v>
      </c>
      <c r="I36" s="26">
        <v>14</v>
      </c>
      <c r="J36" s="4" t="s">
        <v>1540</v>
      </c>
      <c r="K36" s="4">
        <v>2024</v>
      </c>
      <c r="M36" s="98"/>
      <c r="N36" s="20" t="s">
        <v>1543</v>
      </c>
      <c r="O36" s="26">
        <v>5</v>
      </c>
      <c r="P36" s="4" t="s">
        <v>1540</v>
      </c>
      <c r="Q36" s="4">
        <v>2024</v>
      </c>
      <c r="S36" s="98"/>
      <c r="T36" s="20" t="s">
        <v>1543</v>
      </c>
      <c r="U36" s="26">
        <v>2</v>
      </c>
      <c r="V36" s="4" t="s">
        <v>1540</v>
      </c>
      <c r="W36" s="4">
        <v>2024</v>
      </c>
    </row>
    <row r="37" spans="1:23" x14ac:dyDescent="0.25">
      <c r="A37" s="96" t="s">
        <v>33</v>
      </c>
      <c r="B37" s="20" t="s">
        <v>1539</v>
      </c>
      <c r="C37" s="26">
        <v>15</v>
      </c>
      <c r="D37" s="4" t="s">
        <v>1540</v>
      </c>
      <c r="E37" s="4">
        <v>2024</v>
      </c>
      <c r="G37" s="96" t="s">
        <v>41</v>
      </c>
      <c r="H37" s="20" t="s">
        <v>1539</v>
      </c>
      <c r="I37" s="26">
        <v>18</v>
      </c>
      <c r="J37" s="4" t="s">
        <v>1540</v>
      </c>
      <c r="K37" s="4">
        <v>2024</v>
      </c>
      <c r="M37" s="96" t="s">
        <v>16</v>
      </c>
      <c r="N37" s="20" t="s">
        <v>1539</v>
      </c>
      <c r="O37" s="26">
        <v>11</v>
      </c>
      <c r="P37" s="4" t="s">
        <v>1540</v>
      </c>
      <c r="Q37" s="4">
        <v>2024</v>
      </c>
      <c r="S37" s="96" t="s">
        <v>35</v>
      </c>
      <c r="T37" s="20" t="s">
        <v>1539</v>
      </c>
      <c r="U37" s="26">
        <v>13</v>
      </c>
      <c r="V37" s="4" t="s">
        <v>1540</v>
      </c>
      <c r="W37" s="4">
        <v>2024</v>
      </c>
    </row>
    <row r="38" spans="1:23" x14ac:dyDescent="0.25">
      <c r="A38" s="97"/>
      <c r="B38" s="20" t="s">
        <v>1541</v>
      </c>
      <c r="C38" s="26">
        <v>8</v>
      </c>
      <c r="D38" s="4" t="s">
        <v>1540</v>
      </c>
      <c r="E38" s="4">
        <v>2024</v>
      </c>
      <c r="G38" s="97"/>
      <c r="H38" s="20" t="s">
        <v>1541</v>
      </c>
      <c r="I38" s="26">
        <v>13</v>
      </c>
      <c r="J38" s="4" t="s">
        <v>1540</v>
      </c>
      <c r="K38" s="4">
        <v>2024</v>
      </c>
      <c r="M38" s="97"/>
      <c r="N38" s="20" t="s">
        <v>1541</v>
      </c>
      <c r="O38" s="26">
        <v>4</v>
      </c>
      <c r="P38" s="4" t="s">
        <v>1540</v>
      </c>
      <c r="Q38" s="4">
        <v>2024</v>
      </c>
      <c r="S38" s="97"/>
      <c r="T38" s="20" t="s">
        <v>1541</v>
      </c>
      <c r="U38" s="26">
        <v>8</v>
      </c>
      <c r="V38" s="4" t="s">
        <v>1540</v>
      </c>
      <c r="W38" s="4">
        <v>2024</v>
      </c>
    </row>
    <row r="39" spans="1:23" x14ac:dyDescent="0.25">
      <c r="A39" s="97"/>
      <c r="B39" s="20" t="s">
        <v>1542</v>
      </c>
      <c r="C39" s="26">
        <v>96</v>
      </c>
      <c r="D39" s="4" t="s">
        <v>1540</v>
      </c>
      <c r="E39" s="4">
        <v>2024</v>
      </c>
      <c r="G39" s="97"/>
      <c r="H39" s="20" t="s">
        <v>1542</v>
      </c>
      <c r="I39" s="26">
        <v>109</v>
      </c>
      <c r="J39" s="4" t="s">
        <v>1540</v>
      </c>
      <c r="K39" s="4">
        <v>2024</v>
      </c>
      <c r="M39" s="97"/>
      <c r="N39" s="20" t="s">
        <v>1542</v>
      </c>
      <c r="O39" s="26">
        <v>61</v>
      </c>
      <c r="P39" s="4" t="s">
        <v>1540</v>
      </c>
      <c r="Q39" s="4">
        <v>2024</v>
      </c>
      <c r="S39" s="97"/>
      <c r="T39" s="20" t="s">
        <v>1542</v>
      </c>
      <c r="U39" s="26">
        <v>83</v>
      </c>
      <c r="V39" s="4" t="s">
        <v>1540</v>
      </c>
      <c r="W39" s="4">
        <v>2024</v>
      </c>
    </row>
    <row r="40" spans="1:23" x14ac:dyDescent="0.25">
      <c r="A40" s="98"/>
      <c r="B40" s="20" t="s">
        <v>1543</v>
      </c>
      <c r="C40" s="26">
        <v>6</v>
      </c>
      <c r="D40" s="4" t="s">
        <v>1540</v>
      </c>
      <c r="E40" s="4">
        <v>2024</v>
      </c>
      <c r="G40" s="98"/>
      <c r="H40" s="20" t="s">
        <v>1543</v>
      </c>
      <c r="I40" s="26">
        <v>9</v>
      </c>
      <c r="J40" s="4" t="s">
        <v>1540</v>
      </c>
      <c r="K40" s="4">
        <v>2024</v>
      </c>
      <c r="M40" s="98"/>
      <c r="N40" s="20" t="s">
        <v>1543</v>
      </c>
      <c r="O40" s="26">
        <v>4</v>
      </c>
      <c r="P40" s="4" t="s">
        <v>1540</v>
      </c>
      <c r="Q40" s="4">
        <v>2024</v>
      </c>
      <c r="S40" s="98"/>
      <c r="T40" s="20" t="s">
        <v>1543</v>
      </c>
      <c r="U40" s="26">
        <v>0</v>
      </c>
      <c r="V40" s="4" t="s">
        <v>1540</v>
      </c>
      <c r="W40" s="4">
        <v>2024</v>
      </c>
    </row>
    <row r="41" spans="1:23" x14ac:dyDescent="0.25">
      <c r="A41" s="96" t="s">
        <v>3</v>
      </c>
      <c r="B41" s="20" t="s">
        <v>1539</v>
      </c>
      <c r="C41" s="26">
        <v>20</v>
      </c>
      <c r="D41" s="4" t="s">
        <v>1540</v>
      </c>
      <c r="E41" s="4">
        <v>2024</v>
      </c>
      <c r="G41" s="96" t="s">
        <v>20</v>
      </c>
      <c r="H41" s="20" t="s">
        <v>1539</v>
      </c>
      <c r="I41" s="26">
        <v>15</v>
      </c>
      <c r="J41" s="4" t="s">
        <v>1540</v>
      </c>
      <c r="K41" s="4">
        <v>2024</v>
      </c>
      <c r="M41" s="96" t="s">
        <v>10</v>
      </c>
      <c r="N41" s="20" t="s">
        <v>1539</v>
      </c>
      <c r="O41" s="26">
        <v>16</v>
      </c>
      <c r="P41" s="4" t="s">
        <v>1540</v>
      </c>
      <c r="Q41" s="4">
        <v>2024</v>
      </c>
      <c r="S41" s="96" t="s">
        <v>15</v>
      </c>
      <c r="T41" s="20" t="s">
        <v>1539</v>
      </c>
      <c r="U41" s="26">
        <v>17</v>
      </c>
      <c r="V41" s="4" t="s">
        <v>1540</v>
      </c>
      <c r="W41" s="4">
        <v>2024</v>
      </c>
    </row>
    <row r="42" spans="1:23" x14ac:dyDescent="0.25">
      <c r="A42" s="97"/>
      <c r="B42" s="20" t="s">
        <v>1541</v>
      </c>
      <c r="C42" s="26">
        <v>4</v>
      </c>
      <c r="D42" s="4" t="s">
        <v>1540</v>
      </c>
      <c r="E42" s="4">
        <v>2024</v>
      </c>
      <c r="G42" s="97"/>
      <c r="H42" s="20" t="s">
        <v>1541</v>
      </c>
      <c r="I42" s="26">
        <v>11</v>
      </c>
      <c r="J42" s="4" t="s">
        <v>1540</v>
      </c>
      <c r="K42" s="4">
        <v>2024</v>
      </c>
      <c r="M42" s="97"/>
      <c r="N42" s="20" t="s">
        <v>1541</v>
      </c>
      <c r="O42" s="26">
        <v>6</v>
      </c>
      <c r="P42" s="4" t="s">
        <v>1540</v>
      </c>
      <c r="Q42" s="4">
        <v>2024</v>
      </c>
      <c r="S42" s="97"/>
      <c r="T42" s="20" t="s">
        <v>1541</v>
      </c>
      <c r="U42" s="26">
        <v>5</v>
      </c>
      <c r="V42" s="4" t="s">
        <v>1540</v>
      </c>
      <c r="W42" s="4">
        <v>2024</v>
      </c>
    </row>
    <row r="43" spans="1:23" x14ac:dyDescent="0.25">
      <c r="A43" s="97"/>
      <c r="B43" s="20" t="s">
        <v>1542</v>
      </c>
      <c r="C43" s="26">
        <v>85</v>
      </c>
      <c r="D43" s="4" t="s">
        <v>1540</v>
      </c>
      <c r="E43" s="4">
        <v>2024</v>
      </c>
      <c r="G43" s="97"/>
      <c r="H43" s="20" t="s">
        <v>1542</v>
      </c>
      <c r="I43" s="26">
        <v>133</v>
      </c>
      <c r="J43" s="4" t="s">
        <v>1540</v>
      </c>
      <c r="K43" s="4">
        <v>2024</v>
      </c>
      <c r="M43" s="97"/>
      <c r="N43" s="20" t="s">
        <v>1542</v>
      </c>
      <c r="O43" s="26">
        <v>94</v>
      </c>
      <c r="P43" s="4" t="s">
        <v>1540</v>
      </c>
      <c r="Q43" s="4">
        <v>2024</v>
      </c>
      <c r="S43" s="97"/>
      <c r="T43" s="20" t="s">
        <v>1542</v>
      </c>
      <c r="U43" s="26">
        <v>99</v>
      </c>
      <c r="V43" s="4" t="s">
        <v>1540</v>
      </c>
      <c r="W43" s="4">
        <v>2024</v>
      </c>
    </row>
    <row r="44" spans="1:23" x14ac:dyDescent="0.25">
      <c r="A44" s="98"/>
      <c r="B44" s="20" t="s">
        <v>1543</v>
      </c>
      <c r="C44" s="26">
        <v>3</v>
      </c>
      <c r="D44" s="4" t="s">
        <v>1540</v>
      </c>
      <c r="E44" s="4">
        <v>2024</v>
      </c>
      <c r="G44" s="98"/>
      <c r="H44" s="20" t="s">
        <v>1543</v>
      </c>
      <c r="I44" s="26">
        <v>9</v>
      </c>
      <c r="J44" s="4" t="s">
        <v>1540</v>
      </c>
      <c r="K44" s="4">
        <v>2024</v>
      </c>
      <c r="M44" s="98"/>
      <c r="N44" s="20" t="s">
        <v>1543</v>
      </c>
      <c r="O44" s="26">
        <v>5</v>
      </c>
      <c r="P44" s="4" t="s">
        <v>1540</v>
      </c>
      <c r="Q44" s="4">
        <v>2024</v>
      </c>
      <c r="S44" s="98"/>
      <c r="T44" s="20" t="s">
        <v>1543</v>
      </c>
      <c r="U44" s="26">
        <v>5</v>
      </c>
      <c r="V44" s="4" t="s">
        <v>1540</v>
      </c>
      <c r="W44" s="4">
        <v>2024</v>
      </c>
    </row>
  </sheetData>
  <mergeCells count="61">
    <mergeCell ref="A1:W1"/>
    <mergeCell ref="S17:S20"/>
    <mergeCell ref="G13:G16"/>
    <mergeCell ref="A3:A4"/>
    <mergeCell ref="G3:G4"/>
    <mergeCell ref="M3:M4"/>
    <mergeCell ref="S13:S16"/>
    <mergeCell ref="I3:I4"/>
    <mergeCell ref="H3:H4"/>
    <mergeCell ref="V3:V4"/>
    <mergeCell ref="E3:E4"/>
    <mergeCell ref="S3:S4"/>
    <mergeCell ref="M9:M12"/>
    <mergeCell ref="M5:M8"/>
    <mergeCell ref="G17:G20"/>
    <mergeCell ref="B3:B4"/>
    <mergeCell ref="U3:U4"/>
    <mergeCell ref="A21:A24"/>
    <mergeCell ref="D3:D4"/>
    <mergeCell ref="W3:W4"/>
    <mergeCell ref="A37:A40"/>
    <mergeCell ref="G37:G40"/>
    <mergeCell ref="A33:A36"/>
    <mergeCell ref="G33:G36"/>
    <mergeCell ref="G5:G8"/>
    <mergeCell ref="M13:M16"/>
    <mergeCell ref="M25:M28"/>
    <mergeCell ref="S9:S12"/>
    <mergeCell ref="M21:M24"/>
    <mergeCell ref="P3:P4"/>
    <mergeCell ref="A17:A20"/>
    <mergeCell ref="S21:S24"/>
    <mergeCell ref="T3:T4"/>
    <mergeCell ref="A29:A32"/>
    <mergeCell ref="G29:G32"/>
    <mergeCell ref="A5:A8"/>
    <mergeCell ref="S29:S32"/>
    <mergeCell ref="J3:J4"/>
    <mergeCell ref="S5:S8"/>
    <mergeCell ref="G25:G28"/>
    <mergeCell ref="G9:G12"/>
    <mergeCell ref="A9:A12"/>
    <mergeCell ref="K3:K4"/>
    <mergeCell ref="C3:C4"/>
    <mergeCell ref="O3:O4"/>
    <mergeCell ref="Q3:Q4"/>
    <mergeCell ref="A25:A28"/>
    <mergeCell ref="N3:N4"/>
    <mergeCell ref="G41:G44"/>
    <mergeCell ref="M41:M44"/>
    <mergeCell ref="M17:M20"/>
    <mergeCell ref="A13:A16"/>
    <mergeCell ref="S33:S36"/>
    <mergeCell ref="S41:S44"/>
    <mergeCell ref="M33:M36"/>
    <mergeCell ref="M29:M32"/>
    <mergeCell ref="G21:G24"/>
    <mergeCell ref="S25:S28"/>
    <mergeCell ref="M37:M40"/>
    <mergeCell ref="S37:S40"/>
    <mergeCell ref="A41:A4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37"/>
  <sheetViews>
    <sheetView workbookViewId="0"/>
  </sheetViews>
  <sheetFormatPr defaultRowHeight="15" x14ac:dyDescent="0.25"/>
  <cols>
    <col min="1" max="1" width="18" customWidth="1"/>
    <col min="2" max="2" width="17.85546875" customWidth="1"/>
    <col min="7" max="7" width="16.42578125" customWidth="1"/>
    <col min="8" max="8" width="16" customWidth="1"/>
    <col min="13" max="13" width="16" customWidth="1"/>
    <col min="14" max="14" width="14.42578125" customWidth="1"/>
    <col min="19" max="19" width="18.85546875" customWidth="1"/>
    <col min="20" max="20" width="16.42578125" customWidth="1"/>
  </cols>
  <sheetData>
    <row r="1" spans="1:23" ht="21" customHeight="1" x14ac:dyDescent="0.35">
      <c r="A1" s="101" t="s">
        <v>1545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</row>
    <row r="3" spans="1:23" x14ac:dyDescent="0.25">
      <c r="A3" s="99" t="s">
        <v>1534</v>
      </c>
      <c r="B3" s="99" t="s">
        <v>1546</v>
      </c>
      <c r="C3" s="99" t="s">
        <v>1536</v>
      </c>
      <c r="D3" s="99" t="s">
        <v>1537</v>
      </c>
      <c r="E3" s="99" t="s">
        <v>1538</v>
      </c>
      <c r="G3" s="99" t="s">
        <v>1534</v>
      </c>
      <c r="H3" s="99" t="s">
        <v>1546</v>
      </c>
      <c r="I3" s="99" t="s">
        <v>1536</v>
      </c>
      <c r="J3" s="99" t="s">
        <v>1537</v>
      </c>
      <c r="K3" s="99" t="s">
        <v>1538</v>
      </c>
      <c r="M3" s="99" t="s">
        <v>1534</v>
      </c>
      <c r="N3" s="99" t="s">
        <v>1546</v>
      </c>
      <c r="O3" s="99" t="s">
        <v>1536</v>
      </c>
      <c r="P3" s="99" t="s">
        <v>1537</v>
      </c>
      <c r="Q3" s="99" t="s">
        <v>1538</v>
      </c>
      <c r="S3" s="99" t="s">
        <v>1534</v>
      </c>
      <c r="T3" s="99" t="s">
        <v>1546</v>
      </c>
      <c r="U3" s="99" t="s">
        <v>1536</v>
      </c>
      <c r="V3" s="99" t="s">
        <v>1537</v>
      </c>
      <c r="W3" s="99" t="s">
        <v>1538</v>
      </c>
    </row>
    <row r="4" spans="1:23" x14ac:dyDescent="0.25">
      <c r="A4" s="98"/>
      <c r="B4" s="98"/>
      <c r="C4" s="98"/>
      <c r="D4" s="98"/>
      <c r="E4" s="98"/>
      <c r="G4" s="98"/>
      <c r="H4" s="98"/>
      <c r="I4" s="98"/>
      <c r="J4" s="98"/>
      <c r="K4" s="98"/>
      <c r="M4" s="98"/>
      <c r="N4" s="98"/>
      <c r="O4" s="98"/>
      <c r="P4" s="98"/>
      <c r="Q4" s="98"/>
      <c r="S4" s="98"/>
      <c r="T4" s="98"/>
      <c r="U4" s="98"/>
      <c r="V4" s="98"/>
      <c r="W4" s="98"/>
    </row>
    <row r="5" spans="1:23" x14ac:dyDescent="0.25">
      <c r="A5" s="102" t="s">
        <v>40</v>
      </c>
      <c r="B5" s="20" t="s">
        <v>1547</v>
      </c>
      <c r="C5" s="4">
        <v>74</v>
      </c>
      <c r="D5" s="4" t="s">
        <v>1540</v>
      </c>
      <c r="E5" s="4">
        <v>2024</v>
      </c>
      <c r="G5" s="96" t="s">
        <v>28</v>
      </c>
      <c r="H5" s="20" t="s">
        <v>1547</v>
      </c>
      <c r="I5" s="4">
        <v>102</v>
      </c>
      <c r="J5" s="4" t="s">
        <v>1540</v>
      </c>
      <c r="K5" s="4">
        <v>2024</v>
      </c>
      <c r="M5" s="102" t="s">
        <v>1548</v>
      </c>
      <c r="N5" s="20" t="s">
        <v>1547</v>
      </c>
      <c r="O5" s="4">
        <v>89</v>
      </c>
      <c r="P5" s="4" t="s">
        <v>1540</v>
      </c>
      <c r="Q5" s="4">
        <v>2024</v>
      </c>
      <c r="S5" s="102" t="s">
        <v>8</v>
      </c>
      <c r="T5" s="20" t="s">
        <v>1547</v>
      </c>
      <c r="U5" s="4">
        <v>124</v>
      </c>
      <c r="V5" s="4" t="s">
        <v>1540</v>
      </c>
      <c r="W5" s="4">
        <v>2024</v>
      </c>
    </row>
    <row r="6" spans="1:23" x14ac:dyDescent="0.25">
      <c r="A6" s="97"/>
      <c r="B6" s="20" t="s">
        <v>1549</v>
      </c>
      <c r="C6" s="4">
        <v>44</v>
      </c>
      <c r="D6" s="4" t="s">
        <v>1540</v>
      </c>
      <c r="E6" s="4">
        <v>2024</v>
      </c>
      <c r="G6" s="97"/>
      <c r="H6" s="20" t="s">
        <v>1549</v>
      </c>
      <c r="I6" s="4">
        <v>25</v>
      </c>
      <c r="J6" s="4" t="s">
        <v>1540</v>
      </c>
      <c r="K6" s="4">
        <v>2024</v>
      </c>
      <c r="M6" s="97"/>
      <c r="N6" s="20" t="s">
        <v>1549</v>
      </c>
      <c r="O6" s="4">
        <v>61</v>
      </c>
      <c r="P6" s="4" t="s">
        <v>1540</v>
      </c>
      <c r="Q6" s="4">
        <v>2024</v>
      </c>
      <c r="S6" s="97"/>
      <c r="T6" s="20" t="s">
        <v>1549</v>
      </c>
      <c r="U6" s="4">
        <v>20</v>
      </c>
      <c r="V6" s="4" t="s">
        <v>1540</v>
      </c>
      <c r="W6" s="4">
        <v>2024</v>
      </c>
    </row>
    <row r="7" spans="1:23" x14ac:dyDescent="0.25">
      <c r="A7" s="97"/>
      <c r="B7" s="20" t="s">
        <v>1550</v>
      </c>
      <c r="C7" s="4">
        <v>48</v>
      </c>
      <c r="D7" s="4" t="s">
        <v>1540</v>
      </c>
      <c r="E7" s="4">
        <v>2024</v>
      </c>
      <c r="G7" s="98"/>
      <c r="H7" s="20" t="s">
        <v>1550</v>
      </c>
      <c r="I7" s="4">
        <v>45</v>
      </c>
      <c r="J7" s="4" t="s">
        <v>1540</v>
      </c>
      <c r="K7" s="4">
        <v>2024</v>
      </c>
      <c r="M7" s="97"/>
      <c r="N7" s="20" t="s">
        <v>1550</v>
      </c>
      <c r="O7" s="4">
        <v>28</v>
      </c>
      <c r="P7" s="4" t="s">
        <v>1540</v>
      </c>
      <c r="Q7" s="4">
        <v>2024</v>
      </c>
      <c r="S7" s="97"/>
      <c r="T7" s="20" t="s">
        <v>1550</v>
      </c>
      <c r="U7" s="4">
        <v>8</v>
      </c>
      <c r="V7" s="4" t="s">
        <v>1540</v>
      </c>
      <c r="W7" s="4">
        <v>2024</v>
      </c>
    </row>
    <row r="8" spans="1:23" x14ac:dyDescent="0.25">
      <c r="A8" s="96" t="s">
        <v>6</v>
      </c>
      <c r="B8" s="20" t="s">
        <v>1547</v>
      </c>
      <c r="C8" s="4">
        <v>49</v>
      </c>
      <c r="D8" s="4" t="s">
        <v>1540</v>
      </c>
      <c r="E8" s="4">
        <v>2024</v>
      </c>
      <c r="G8" s="96" t="s">
        <v>24</v>
      </c>
      <c r="H8" s="20" t="s">
        <v>1547</v>
      </c>
      <c r="I8" s="4">
        <v>70</v>
      </c>
      <c r="J8" s="4" t="s">
        <v>1540</v>
      </c>
      <c r="K8" s="4">
        <v>2024</v>
      </c>
      <c r="M8" s="96" t="s">
        <v>17</v>
      </c>
      <c r="N8" s="20" t="s">
        <v>1547</v>
      </c>
      <c r="O8" s="4">
        <v>132</v>
      </c>
      <c r="P8" s="4" t="s">
        <v>1540</v>
      </c>
      <c r="Q8" s="4">
        <v>2024</v>
      </c>
      <c r="S8" s="96" t="s">
        <v>30</v>
      </c>
      <c r="T8" s="20" t="s">
        <v>1547</v>
      </c>
      <c r="U8" s="4">
        <v>111</v>
      </c>
      <c r="V8" s="4" t="s">
        <v>1540</v>
      </c>
      <c r="W8" s="4">
        <v>2024</v>
      </c>
    </row>
    <row r="9" spans="1:23" x14ac:dyDescent="0.25">
      <c r="A9" s="97"/>
      <c r="B9" s="20" t="s">
        <v>1549</v>
      </c>
      <c r="C9" s="4">
        <v>19</v>
      </c>
      <c r="D9" s="4" t="s">
        <v>1540</v>
      </c>
      <c r="E9" s="4">
        <v>2024</v>
      </c>
      <c r="G9" s="97"/>
      <c r="H9" s="20" t="s">
        <v>1549</v>
      </c>
      <c r="I9" s="4">
        <v>28</v>
      </c>
      <c r="J9" s="4" t="s">
        <v>1540</v>
      </c>
      <c r="K9" s="4">
        <v>2024</v>
      </c>
      <c r="M9" s="97"/>
      <c r="N9" s="20" t="s">
        <v>1549</v>
      </c>
      <c r="O9" s="4">
        <v>51</v>
      </c>
      <c r="P9" s="4" t="s">
        <v>1540</v>
      </c>
      <c r="Q9" s="4">
        <v>2024</v>
      </c>
      <c r="S9" s="97"/>
      <c r="T9" s="20" t="s">
        <v>1549</v>
      </c>
      <c r="U9" s="4">
        <v>33</v>
      </c>
      <c r="V9" s="4" t="s">
        <v>1540</v>
      </c>
      <c r="W9" s="4">
        <v>2024</v>
      </c>
    </row>
    <row r="10" spans="1:23" x14ac:dyDescent="0.25">
      <c r="A10" s="98"/>
      <c r="B10" s="20" t="s">
        <v>1550</v>
      </c>
      <c r="C10" s="4">
        <v>10</v>
      </c>
      <c r="D10" s="4" t="s">
        <v>1540</v>
      </c>
      <c r="E10" s="4">
        <v>2024</v>
      </c>
      <c r="G10" s="98"/>
      <c r="H10" s="20" t="s">
        <v>1550</v>
      </c>
      <c r="I10" s="4">
        <v>29</v>
      </c>
      <c r="J10" s="4" t="s">
        <v>1540</v>
      </c>
      <c r="K10" s="4">
        <v>2024</v>
      </c>
      <c r="M10" s="98"/>
      <c r="N10" s="20" t="s">
        <v>1550</v>
      </c>
      <c r="O10" s="4">
        <v>30</v>
      </c>
      <c r="P10" s="4" t="s">
        <v>1540</v>
      </c>
      <c r="Q10" s="4">
        <v>2024</v>
      </c>
      <c r="S10" s="98"/>
      <c r="T10" s="20" t="s">
        <v>1550</v>
      </c>
      <c r="U10" s="4">
        <v>12</v>
      </c>
      <c r="V10" s="4" t="s">
        <v>1540</v>
      </c>
      <c r="W10" s="4">
        <v>2024</v>
      </c>
    </row>
    <row r="11" spans="1:23" x14ac:dyDescent="0.25">
      <c r="A11" s="96" t="s">
        <v>23</v>
      </c>
      <c r="B11" s="20" t="s">
        <v>1547</v>
      </c>
      <c r="C11" s="4">
        <v>102</v>
      </c>
      <c r="D11" s="4" t="s">
        <v>1540</v>
      </c>
      <c r="E11" s="4">
        <v>2024</v>
      </c>
      <c r="G11" s="96" t="s">
        <v>5</v>
      </c>
      <c r="H11" s="20" t="s">
        <v>1547</v>
      </c>
      <c r="I11" s="4">
        <v>84</v>
      </c>
      <c r="J11" s="4" t="s">
        <v>1540</v>
      </c>
      <c r="K11" s="4">
        <v>2024</v>
      </c>
      <c r="M11" s="96" t="s">
        <v>21</v>
      </c>
      <c r="N11" s="20" t="s">
        <v>1547</v>
      </c>
      <c r="O11" s="4">
        <v>181</v>
      </c>
      <c r="P11" s="4" t="s">
        <v>1540</v>
      </c>
      <c r="Q11" s="4">
        <v>2024</v>
      </c>
      <c r="S11" s="96" t="s">
        <v>26</v>
      </c>
      <c r="T11" s="20" t="s">
        <v>1547</v>
      </c>
      <c r="U11" s="4">
        <v>95</v>
      </c>
      <c r="V11" s="4" t="s">
        <v>1540</v>
      </c>
      <c r="W11" s="4">
        <v>2024</v>
      </c>
    </row>
    <row r="12" spans="1:23" x14ac:dyDescent="0.25">
      <c r="A12" s="97"/>
      <c r="B12" s="20" t="s">
        <v>1549</v>
      </c>
      <c r="C12" s="4">
        <v>30</v>
      </c>
      <c r="D12" s="4" t="s">
        <v>1540</v>
      </c>
      <c r="E12" s="4">
        <v>2024</v>
      </c>
      <c r="G12" s="97"/>
      <c r="H12" s="20" t="s">
        <v>1549</v>
      </c>
      <c r="I12" s="4">
        <v>20</v>
      </c>
      <c r="J12" s="4" t="s">
        <v>1540</v>
      </c>
      <c r="K12" s="4">
        <v>2024</v>
      </c>
      <c r="M12" s="97"/>
      <c r="N12" s="20" t="s">
        <v>1549</v>
      </c>
      <c r="O12" s="4">
        <v>52</v>
      </c>
      <c r="P12" s="4" t="s">
        <v>1540</v>
      </c>
      <c r="Q12" s="4">
        <v>2024</v>
      </c>
      <c r="S12" s="97"/>
      <c r="T12" s="20" t="s">
        <v>1549</v>
      </c>
      <c r="U12" s="4">
        <v>19</v>
      </c>
      <c r="V12" s="4" t="s">
        <v>1540</v>
      </c>
      <c r="W12" s="4">
        <v>2024</v>
      </c>
    </row>
    <row r="13" spans="1:23" x14ac:dyDescent="0.25">
      <c r="A13" s="98"/>
      <c r="B13" s="20" t="s">
        <v>1550</v>
      </c>
      <c r="C13" s="4">
        <v>14</v>
      </c>
      <c r="D13" s="4" t="s">
        <v>1540</v>
      </c>
      <c r="E13" s="4">
        <v>2024</v>
      </c>
      <c r="G13" s="98"/>
      <c r="H13" s="20" t="s">
        <v>1550</v>
      </c>
      <c r="I13" s="4">
        <v>25</v>
      </c>
      <c r="J13" s="4" t="s">
        <v>1540</v>
      </c>
      <c r="K13" s="4">
        <v>2024</v>
      </c>
      <c r="M13" s="98"/>
      <c r="N13" s="20" t="s">
        <v>1550</v>
      </c>
      <c r="O13" s="4">
        <v>12</v>
      </c>
      <c r="P13" s="4" t="s">
        <v>1540</v>
      </c>
      <c r="Q13" s="4">
        <v>2024</v>
      </c>
      <c r="S13" s="98"/>
      <c r="T13" s="20" t="s">
        <v>1550</v>
      </c>
      <c r="U13" s="4">
        <v>25</v>
      </c>
      <c r="V13" s="4" t="s">
        <v>1540</v>
      </c>
      <c r="W13" s="4">
        <v>2024</v>
      </c>
    </row>
    <row r="14" spans="1:23" x14ac:dyDescent="0.25">
      <c r="A14" s="96" t="s">
        <v>25</v>
      </c>
      <c r="B14" s="20" t="s">
        <v>1547</v>
      </c>
      <c r="C14" s="4">
        <v>63</v>
      </c>
      <c r="D14" s="4" t="s">
        <v>1540</v>
      </c>
      <c r="E14" s="4">
        <v>2024</v>
      </c>
      <c r="G14" s="96" t="s">
        <v>38</v>
      </c>
      <c r="H14" s="20" t="s">
        <v>1547</v>
      </c>
      <c r="I14" s="4">
        <v>114</v>
      </c>
      <c r="J14" s="4" t="s">
        <v>1540</v>
      </c>
      <c r="K14" s="4">
        <v>2024</v>
      </c>
      <c r="M14" s="96" t="s">
        <v>2</v>
      </c>
      <c r="N14" s="20" t="s">
        <v>1547</v>
      </c>
      <c r="O14" s="4">
        <v>132</v>
      </c>
      <c r="P14" s="4" t="s">
        <v>1540</v>
      </c>
      <c r="Q14" s="4">
        <v>2024</v>
      </c>
      <c r="S14" s="96" t="s">
        <v>19</v>
      </c>
      <c r="T14" s="20" t="s">
        <v>1547</v>
      </c>
      <c r="U14" s="4">
        <v>170</v>
      </c>
      <c r="V14" s="4" t="s">
        <v>1540</v>
      </c>
      <c r="W14" s="4">
        <v>2024</v>
      </c>
    </row>
    <row r="15" spans="1:23" x14ac:dyDescent="0.25">
      <c r="A15" s="97"/>
      <c r="B15" s="20" t="s">
        <v>1549</v>
      </c>
      <c r="C15" s="4">
        <v>27</v>
      </c>
      <c r="D15" s="4" t="s">
        <v>1540</v>
      </c>
      <c r="E15" s="4">
        <v>2024</v>
      </c>
      <c r="G15" s="97"/>
      <c r="H15" s="20" t="s">
        <v>1549</v>
      </c>
      <c r="I15" s="4">
        <v>32</v>
      </c>
      <c r="J15" s="4" t="s">
        <v>1540</v>
      </c>
      <c r="K15" s="4">
        <v>2024</v>
      </c>
      <c r="M15" s="97"/>
      <c r="N15" s="20" t="s">
        <v>1549</v>
      </c>
      <c r="O15" s="4">
        <v>32</v>
      </c>
      <c r="P15" s="4" t="s">
        <v>1540</v>
      </c>
      <c r="Q15" s="4">
        <v>2024</v>
      </c>
      <c r="S15" s="97"/>
      <c r="T15" s="20" t="s">
        <v>1549</v>
      </c>
      <c r="U15" s="4">
        <v>43</v>
      </c>
      <c r="V15" s="4" t="s">
        <v>1540</v>
      </c>
      <c r="W15" s="4">
        <v>2024</v>
      </c>
    </row>
    <row r="16" spans="1:23" x14ac:dyDescent="0.25">
      <c r="A16" s="98"/>
      <c r="B16" s="20" t="s">
        <v>1550</v>
      </c>
      <c r="C16" s="4">
        <v>13</v>
      </c>
      <c r="D16" s="4" t="s">
        <v>1540</v>
      </c>
      <c r="E16" s="4">
        <v>2024</v>
      </c>
      <c r="G16" s="98"/>
      <c r="H16" s="20" t="s">
        <v>1550</v>
      </c>
      <c r="I16" s="4">
        <v>23</v>
      </c>
      <c r="J16" s="4" t="s">
        <v>1540</v>
      </c>
      <c r="K16" s="4">
        <v>2024</v>
      </c>
      <c r="M16" s="98"/>
      <c r="N16" s="20" t="s">
        <v>1550</v>
      </c>
      <c r="O16" s="4">
        <v>19</v>
      </c>
      <c r="P16" s="4" t="s">
        <v>1540</v>
      </c>
      <c r="Q16" s="4">
        <v>2024</v>
      </c>
      <c r="S16" s="98"/>
      <c r="T16" s="20" t="s">
        <v>1550</v>
      </c>
      <c r="U16" s="4">
        <v>25</v>
      </c>
      <c r="V16" s="4" t="s">
        <v>1540</v>
      </c>
      <c r="W16" s="4">
        <v>2024</v>
      </c>
    </row>
    <row r="17" spans="1:23" x14ac:dyDescent="0.25">
      <c r="A17" s="96" t="s">
        <v>4</v>
      </c>
      <c r="B17" s="20" t="s">
        <v>1547</v>
      </c>
      <c r="C17" s="4">
        <v>89</v>
      </c>
      <c r="D17" s="4" t="s">
        <v>1540</v>
      </c>
      <c r="E17" s="4">
        <v>2024</v>
      </c>
      <c r="G17" s="96" t="s">
        <v>34</v>
      </c>
      <c r="H17" s="20" t="s">
        <v>1547</v>
      </c>
      <c r="I17" s="4">
        <v>55</v>
      </c>
      <c r="J17" s="4" t="s">
        <v>1540</v>
      </c>
      <c r="K17" s="4">
        <v>2024</v>
      </c>
      <c r="M17" s="96" t="s">
        <v>29</v>
      </c>
      <c r="N17" s="20" t="s">
        <v>1547</v>
      </c>
      <c r="O17" s="4">
        <v>125</v>
      </c>
      <c r="P17" s="4" t="s">
        <v>1540</v>
      </c>
      <c r="Q17" s="4">
        <v>2024</v>
      </c>
      <c r="S17" s="96" t="s">
        <v>1551</v>
      </c>
      <c r="T17" s="20" t="s">
        <v>1547</v>
      </c>
      <c r="U17" s="4">
        <v>72</v>
      </c>
      <c r="V17" s="4" t="s">
        <v>1540</v>
      </c>
      <c r="W17" s="4">
        <v>2024</v>
      </c>
    </row>
    <row r="18" spans="1:23" x14ac:dyDescent="0.25">
      <c r="A18" s="97"/>
      <c r="B18" s="20" t="s">
        <v>1549</v>
      </c>
      <c r="C18" s="4">
        <v>35</v>
      </c>
      <c r="D18" s="4" t="s">
        <v>1540</v>
      </c>
      <c r="E18" s="4">
        <v>2024</v>
      </c>
      <c r="G18" s="97"/>
      <c r="H18" s="20" t="s">
        <v>1549</v>
      </c>
      <c r="I18" s="4">
        <v>25</v>
      </c>
      <c r="J18" s="4" t="s">
        <v>1540</v>
      </c>
      <c r="K18" s="4">
        <v>2024</v>
      </c>
      <c r="M18" s="97"/>
      <c r="N18" s="20" t="s">
        <v>1549</v>
      </c>
      <c r="O18" s="4">
        <v>36</v>
      </c>
      <c r="P18" s="4" t="s">
        <v>1540</v>
      </c>
      <c r="Q18" s="4">
        <v>2024</v>
      </c>
      <c r="S18" s="97"/>
      <c r="T18" s="20" t="s">
        <v>1549</v>
      </c>
      <c r="U18" s="4">
        <v>23</v>
      </c>
      <c r="V18" s="4" t="s">
        <v>1540</v>
      </c>
      <c r="W18" s="4">
        <v>2024</v>
      </c>
    </row>
    <row r="19" spans="1:23" x14ac:dyDescent="0.25">
      <c r="A19" s="98"/>
      <c r="B19" s="20" t="s">
        <v>1550</v>
      </c>
      <c r="C19" s="4">
        <v>5</v>
      </c>
      <c r="D19" s="4" t="s">
        <v>1540</v>
      </c>
      <c r="E19" s="4">
        <v>2024</v>
      </c>
      <c r="G19" s="98"/>
      <c r="H19" s="20" t="s">
        <v>1550</v>
      </c>
      <c r="I19" s="4">
        <v>24</v>
      </c>
      <c r="J19" s="4" t="s">
        <v>1540</v>
      </c>
      <c r="K19" s="4">
        <v>2024</v>
      </c>
      <c r="M19" s="98"/>
      <c r="N19" s="20" t="s">
        <v>1550</v>
      </c>
      <c r="O19" s="4">
        <v>14</v>
      </c>
      <c r="P19" s="4" t="s">
        <v>1540</v>
      </c>
      <c r="Q19" s="4">
        <v>2024</v>
      </c>
      <c r="S19" s="98"/>
      <c r="T19" s="20" t="s">
        <v>1550</v>
      </c>
      <c r="U19" s="4">
        <v>13</v>
      </c>
      <c r="V19" s="4" t="s">
        <v>1540</v>
      </c>
      <c r="W19" s="4">
        <v>2024</v>
      </c>
    </row>
    <row r="20" spans="1:23" x14ac:dyDescent="0.25">
      <c r="A20" s="96" t="s">
        <v>18</v>
      </c>
      <c r="B20" s="20" t="s">
        <v>1547</v>
      </c>
      <c r="C20" s="4">
        <v>103</v>
      </c>
      <c r="D20" s="4" t="s">
        <v>1540</v>
      </c>
      <c r="E20" s="4">
        <v>2024</v>
      </c>
      <c r="G20" s="96" t="s">
        <v>9</v>
      </c>
      <c r="H20" s="20" t="s">
        <v>1547</v>
      </c>
      <c r="I20" s="4">
        <v>91</v>
      </c>
      <c r="J20" s="4" t="s">
        <v>1540</v>
      </c>
      <c r="K20" s="4">
        <v>2024</v>
      </c>
      <c r="M20" s="96" t="s">
        <v>7</v>
      </c>
      <c r="N20" s="20" t="s">
        <v>1547</v>
      </c>
      <c r="O20" s="4">
        <v>131</v>
      </c>
      <c r="P20" s="4" t="s">
        <v>1540</v>
      </c>
      <c r="Q20" s="4">
        <v>2024</v>
      </c>
      <c r="S20" s="96" t="s">
        <v>31</v>
      </c>
      <c r="T20" s="20" t="s">
        <v>1547</v>
      </c>
      <c r="U20" s="4">
        <v>81</v>
      </c>
      <c r="V20" s="4" t="s">
        <v>1540</v>
      </c>
      <c r="W20" s="4">
        <v>2024</v>
      </c>
    </row>
    <row r="21" spans="1:23" x14ac:dyDescent="0.25">
      <c r="A21" s="97"/>
      <c r="B21" s="20" t="s">
        <v>1549</v>
      </c>
      <c r="C21" s="4">
        <v>36</v>
      </c>
      <c r="D21" s="4" t="s">
        <v>1540</v>
      </c>
      <c r="E21" s="4">
        <v>2024</v>
      </c>
      <c r="G21" s="97"/>
      <c r="H21" s="20" t="s">
        <v>1549</v>
      </c>
      <c r="I21" s="4">
        <v>28</v>
      </c>
      <c r="J21" s="4" t="s">
        <v>1540</v>
      </c>
      <c r="K21" s="4">
        <v>2024</v>
      </c>
      <c r="M21" s="97"/>
      <c r="N21" s="20" t="s">
        <v>1549</v>
      </c>
      <c r="O21" s="4">
        <v>34</v>
      </c>
      <c r="P21" s="4" t="s">
        <v>1540</v>
      </c>
      <c r="Q21" s="4">
        <v>2024</v>
      </c>
      <c r="S21" s="97"/>
      <c r="T21" s="20" t="s">
        <v>1549</v>
      </c>
      <c r="U21" s="4">
        <v>15</v>
      </c>
      <c r="V21" s="4" t="s">
        <v>1540</v>
      </c>
      <c r="W21" s="4">
        <v>2024</v>
      </c>
    </row>
    <row r="22" spans="1:23" x14ac:dyDescent="0.25">
      <c r="A22" s="98"/>
      <c r="B22" s="20" t="s">
        <v>1550</v>
      </c>
      <c r="C22" s="4">
        <v>8</v>
      </c>
      <c r="D22" s="4" t="s">
        <v>1540</v>
      </c>
      <c r="E22" s="4">
        <v>2024</v>
      </c>
      <c r="G22" s="98"/>
      <c r="H22" s="20" t="s">
        <v>1550</v>
      </c>
      <c r="I22" s="4">
        <v>27</v>
      </c>
      <c r="J22" s="4" t="s">
        <v>1540</v>
      </c>
      <c r="K22" s="4">
        <v>2024</v>
      </c>
      <c r="M22" s="98"/>
      <c r="N22" s="20" t="s">
        <v>1550</v>
      </c>
      <c r="O22" s="4">
        <v>9</v>
      </c>
      <c r="P22" s="4" t="s">
        <v>1540</v>
      </c>
      <c r="Q22" s="4">
        <v>2024</v>
      </c>
      <c r="S22" s="98"/>
      <c r="T22" s="20" t="s">
        <v>1550</v>
      </c>
      <c r="U22" s="4">
        <v>22</v>
      </c>
      <c r="V22" s="4" t="s">
        <v>1540</v>
      </c>
      <c r="W22" s="4">
        <v>2024</v>
      </c>
    </row>
    <row r="23" spans="1:23" x14ac:dyDescent="0.25">
      <c r="A23" s="96" t="s">
        <v>22</v>
      </c>
      <c r="B23" s="20" t="s">
        <v>1547</v>
      </c>
      <c r="C23" s="4">
        <v>174</v>
      </c>
      <c r="D23" s="4" t="s">
        <v>1540</v>
      </c>
      <c r="E23" s="4">
        <v>2024</v>
      </c>
      <c r="G23" s="96" t="s">
        <v>27</v>
      </c>
      <c r="H23" s="20" t="s">
        <v>1547</v>
      </c>
      <c r="I23" s="4">
        <v>66</v>
      </c>
      <c r="J23" s="4" t="s">
        <v>1540</v>
      </c>
      <c r="K23" s="4">
        <v>2024</v>
      </c>
      <c r="M23" s="96" t="s">
        <v>36</v>
      </c>
      <c r="N23" s="20" t="s">
        <v>1547</v>
      </c>
      <c r="O23" s="4">
        <v>99</v>
      </c>
      <c r="P23" s="4" t="s">
        <v>1540</v>
      </c>
      <c r="Q23" s="4">
        <v>2024</v>
      </c>
      <c r="S23" s="96" t="s">
        <v>12</v>
      </c>
      <c r="T23" s="20" t="s">
        <v>1547</v>
      </c>
      <c r="U23" s="4">
        <v>74</v>
      </c>
      <c r="V23" s="4" t="s">
        <v>1540</v>
      </c>
      <c r="W23" s="4">
        <v>2024</v>
      </c>
    </row>
    <row r="24" spans="1:23" x14ac:dyDescent="0.25">
      <c r="A24" s="97"/>
      <c r="B24" s="20" t="s">
        <v>1549</v>
      </c>
      <c r="C24" s="4">
        <v>38</v>
      </c>
      <c r="D24" s="4" t="s">
        <v>1540</v>
      </c>
      <c r="E24" s="4">
        <v>2024</v>
      </c>
      <c r="G24" s="97"/>
      <c r="H24" s="20" t="s">
        <v>1549</v>
      </c>
      <c r="I24" s="4">
        <v>35</v>
      </c>
      <c r="J24" s="4" t="s">
        <v>1540</v>
      </c>
      <c r="K24" s="4">
        <v>2024</v>
      </c>
      <c r="M24" s="97"/>
      <c r="N24" s="20" t="s">
        <v>1549</v>
      </c>
      <c r="O24" s="4">
        <v>18</v>
      </c>
      <c r="P24" s="4" t="s">
        <v>1540</v>
      </c>
      <c r="Q24" s="4">
        <v>2024</v>
      </c>
      <c r="S24" s="97"/>
      <c r="T24" s="20" t="s">
        <v>1549</v>
      </c>
      <c r="U24" s="4">
        <v>29</v>
      </c>
      <c r="V24" s="4" t="s">
        <v>1540</v>
      </c>
      <c r="W24" s="4">
        <v>2024</v>
      </c>
    </row>
    <row r="25" spans="1:23" x14ac:dyDescent="0.25">
      <c r="A25" s="98"/>
      <c r="B25" s="20" t="s">
        <v>1550</v>
      </c>
      <c r="C25" s="4">
        <v>15</v>
      </c>
      <c r="D25" s="4" t="s">
        <v>1540</v>
      </c>
      <c r="E25" s="4">
        <v>2024</v>
      </c>
      <c r="G25" s="98"/>
      <c r="H25" s="20" t="s">
        <v>1550</v>
      </c>
      <c r="I25" s="4">
        <v>23</v>
      </c>
      <c r="J25" s="4" t="s">
        <v>1540</v>
      </c>
      <c r="K25" s="4">
        <v>2024</v>
      </c>
      <c r="M25" s="98"/>
      <c r="N25" s="20" t="s">
        <v>1550</v>
      </c>
      <c r="O25" s="4">
        <v>11</v>
      </c>
      <c r="P25" s="4" t="s">
        <v>1540</v>
      </c>
      <c r="Q25" s="4">
        <v>2024</v>
      </c>
      <c r="S25" s="98"/>
      <c r="T25" s="20" t="s">
        <v>1550</v>
      </c>
      <c r="U25" s="4">
        <v>25</v>
      </c>
      <c r="V25" s="4" t="s">
        <v>1540</v>
      </c>
      <c r="W25" s="4">
        <v>2024</v>
      </c>
    </row>
    <row r="26" spans="1:23" x14ac:dyDescent="0.25">
      <c r="A26" s="96" t="s">
        <v>37</v>
      </c>
      <c r="B26" s="20" t="s">
        <v>1547</v>
      </c>
      <c r="C26" s="4">
        <v>149</v>
      </c>
      <c r="D26" s="4" t="s">
        <v>1540</v>
      </c>
      <c r="E26" s="4">
        <v>2024</v>
      </c>
      <c r="G26" s="96" t="s">
        <v>32</v>
      </c>
      <c r="H26" s="20" t="s">
        <v>1547</v>
      </c>
      <c r="I26" s="4">
        <v>74</v>
      </c>
      <c r="J26" s="4" t="s">
        <v>1540</v>
      </c>
      <c r="K26" s="4">
        <v>2024</v>
      </c>
      <c r="M26" s="96" t="s">
        <v>11</v>
      </c>
      <c r="N26" s="20" t="s">
        <v>1547</v>
      </c>
      <c r="O26" s="4">
        <v>103</v>
      </c>
      <c r="P26" s="4" t="s">
        <v>1540</v>
      </c>
      <c r="Q26" s="4">
        <v>2024</v>
      </c>
      <c r="S26" s="96" t="s">
        <v>13</v>
      </c>
      <c r="T26" s="20" t="s">
        <v>1547</v>
      </c>
      <c r="U26" s="4">
        <v>115</v>
      </c>
      <c r="V26" s="4" t="s">
        <v>1540</v>
      </c>
      <c r="W26" s="4">
        <v>2024</v>
      </c>
    </row>
    <row r="27" spans="1:23" x14ac:dyDescent="0.25">
      <c r="A27" s="97"/>
      <c r="B27" s="20" t="s">
        <v>1549</v>
      </c>
      <c r="C27" s="4">
        <v>25</v>
      </c>
      <c r="D27" s="4" t="s">
        <v>1540</v>
      </c>
      <c r="E27" s="4">
        <v>2024</v>
      </c>
      <c r="G27" s="97"/>
      <c r="H27" s="20" t="s">
        <v>1549</v>
      </c>
      <c r="I27" s="4">
        <v>18</v>
      </c>
      <c r="J27" s="4" t="s">
        <v>1540</v>
      </c>
      <c r="K27" s="4">
        <v>2024</v>
      </c>
      <c r="M27" s="97"/>
      <c r="N27" s="20" t="s">
        <v>1549</v>
      </c>
      <c r="O27" s="4">
        <v>29</v>
      </c>
      <c r="P27" s="4" t="s">
        <v>1540</v>
      </c>
      <c r="Q27" s="4">
        <v>2024</v>
      </c>
      <c r="S27" s="97"/>
      <c r="T27" s="20" t="s">
        <v>1549</v>
      </c>
      <c r="U27" s="4">
        <v>55</v>
      </c>
      <c r="V27" s="4" t="s">
        <v>1540</v>
      </c>
      <c r="W27" s="4">
        <v>2024</v>
      </c>
    </row>
    <row r="28" spans="1:23" x14ac:dyDescent="0.25">
      <c r="A28" s="98"/>
      <c r="B28" s="20" t="s">
        <v>1550</v>
      </c>
      <c r="C28" s="4">
        <v>10</v>
      </c>
      <c r="D28" s="4" t="s">
        <v>1540</v>
      </c>
      <c r="E28" s="4">
        <v>2024</v>
      </c>
      <c r="G28" s="98"/>
      <c r="H28" s="20" t="s">
        <v>1550</v>
      </c>
      <c r="I28" s="4">
        <v>31</v>
      </c>
      <c r="J28" s="4" t="s">
        <v>1540</v>
      </c>
      <c r="K28" s="4">
        <v>2024</v>
      </c>
      <c r="M28" s="98"/>
      <c r="N28" s="20" t="s">
        <v>1550</v>
      </c>
      <c r="O28" s="4">
        <v>25</v>
      </c>
      <c r="P28" s="4" t="s">
        <v>1540</v>
      </c>
      <c r="Q28" s="4">
        <v>2024</v>
      </c>
      <c r="S28" s="98"/>
      <c r="T28" s="20" t="s">
        <v>1550</v>
      </c>
      <c r="U28" s="4">
        <v>41</v>
      </c>
      <c r="V28" s="4" t="s">
        <v>1540</v>
      </c>
      <c r="W28" s="4">
        <v>2024</v>
      </c>
    </row>
    <row r="29" spans="1:23" x14ac:dyDescent="0.25">
      <c r="A29" s="96" t="s">
        <v>33</v>
      </c>
      <c r="B29" s="20" t="s">
        <v>1547</v>
      </c>
      <c r="C29" s="4">
        <v>103</v>
      </c>
      <c r="D29" s="4" t="s">
        <v>1540</v>
      </c>
      <c r="E29" s="4">
        <v>2024</v>
      </c>
      <c r="G29" s="96" t="s">
        <v>41</v>
      </c>
      <c r="H29" s="20" t="s">
        <v>1547</v>
      </c>
      <c r="I29" s="4">
        <v>156</v>
      </c>
      <c r="J29" s="4" t="s">
        <v>1540</v>
      </c>
      <c r="K29" s="4">
        <v>2024</v>
      </c>
      <c r="M29" s="96" t="s">
        <v>16</v>
      </c>
      <c r="N29" s="20" t="s">
        <v>1547</v>
      </c>
      <c r="O29" s="4">
        <v>156</v>
      </c>
      <c r="P29" s="4" t="s">
        <v>1540</v>
      </c>
      <c r="Q29" s="4">
        <v>2024</v>
      </c>
      <c r="S29" s="96" t="s">
        <v>35</v>
      </c>
      <c r="T29" s="20" t="s">
        <v>1547</v>
      </c>
      <c r="U29" s="4">
        <v>134</v>
      </c>
      <c r="V29" s="4" t="s">
        <v>1540</v>
      </c>
      <c r="W29" s="4">
        <v>2024</v>
      </c>
    </row>
    <row r="30" spans="1:23" x14ac:dyDescent="0.25">
      <c r="A30" s="97"/>
      <c r="B30" s="20" t="s">
        <v>1549</v>
      </c>
      <c r="C30" s="4">
        <v>30</v>
      </c>
      <c r="D30" s="4" t="s">
        <v>1540</v>
      </c>
      <c r="E30" s="4">
        <v>2024</v>
      </c>
      <c r="G30" s="97"/>
      <c r="H30" s="20" t="s">
        <v>1549</v>
      </c>
      <c r="I30" s="4">
        <v>42</v>
      </c>
      <c r="J30" s="4" t="s">
        <v>1540</v>
      </c>
      <c r="K30" s="4">
        <v>2024</v>
      </c>
      <c r="M30" s="97"/>
      <c r="N30" s="20" t="s">
        <v>1549</v>
      </c>
      <c r="O30" s="4">
        <v>53</v>
      </c>
      <c r="P30" s="4" t="s">
        <v>1540</v>
      </c>
      <c r="Q30" s="4">
        <v>2024</v>
      </c>
      <c r="S30" s="97"/>
      <c r="T30" s="20" t="s">
        <v>1549</v>
      </c>
      <c r="U30" s="4">
        <v>43</v>
      </c>
      <c r="V30" s="4" t="s">
        <v>1540</v>
      </c>
      <c r="W30" s="4">
        <v>2024</v>
      </c>
    </row>
    <row r="31" spans="1:23" x14ac:dyDescent="0.25">
      <c r="A31" s="98"/>
      <c r="B31" s="20" t="s">
        <v>1550</v>
      </c>
      <c r="C31" s="4">
        <v>4</v>
      </c>
      <c r="D31" s="4" t="s">
        <v>1540</v>
      </c>
      <c r="E31" s="4">
        <v>2024</v>
      </c>
      <c r="G31" s="98"/>
      <c r="H31" s="20" t="s">
        <v>1550</v>
      </c>
      <c r="I31" s="4">
        <v>28</v>
      </c>
      <c r="J31" s="4" t="s">
        <v>1540</v>
      </c>
      <c r="K31" s="4">
        <v>2024</v>
      </c>
      <c r="M31" s="98"/>
      <c r="N31" s="20" t="s">
        <v>1550</v>
      </c>
      <c r="O31" s="4">
        <v>20</v>
      </c>
      <c r="P31" s="4" t="s">
        <v>1540</v>
      </c>
      <c r="Q31" s="4">
        <v>2024</v>
      </c>
      <c r="S31" s="98"/>
      <c r="T31" s="20" t="s">
        <v>1550</v>
      </c>
      <c r="U31" s="4">
        <v>26</v>
      </c>
      <c r="V31" s="4" t="s">
        <v>1540</v>
      </c>
      <c r="W31" s="4">
        <v>2024</v>
      </c>
    </row>
    <row r="32" spans="1:23" x14ac:dyDescent="0.25">
      <c r="A32" s="96" t="s">
        <v>3</v>
      </c>
      <c r="B32" s="20" t="s">
        <v>1547</v>
      </c>
      <c r="C32" s="4">
        <v>65</v>
      </c>
      <c r="D32" s="4" t="s">
        <v>1540</v>
      </c>
      <c r="E32" s="4">
        <v>2024</v>
      </c>
      <c r="G32" s="96" t="s">
        <v>20</v>
      </c>
      <c r="H32" s="20" t="s">
        <v>1547</v>
      </c>
      <c r="I32" s="4">
        <v>287</v>
      </c>
      <c r="J32" s="4" t="s">
        <v>1540</v>
      </c>
      <c r="K32" s="4">
        <v>2024</v>
      </c>
      <c r="M32" s="96" t="s">
        <v>10</v>
      </c>
      <c r="N32" s="20" t="s">
        <v>1547</v>
      </c>
      <c r="O32" s="4">
        <v>109</v>
      </c>
      <c r="P32" s="4" t="s">
        <v>1540</v>
      </c>
      <c r="Q32" s="4">
        <v>2024</v>
      </c>
      <c r="S32" s="96" t="s">
        <v>15</v>
      </c>
      <c r="T32" s="20" t="s">
        <v>1547</v>
      </c>
      <c r="U32" s="4">
        <v>65</v>
      </c>
      <c r="V32" s="4" t="s">
        <v>1540</v>
      </c>
      <c r="W32" s="4">
        <v>2024</v>
      </c>
    </row>
    <row r="33" spans="1:23" x14ac:dyDescent="0.25">
      <c r="A33" s="97"/>
      <c r="B33" s="20" t="s">
        <v>1549</v>
      </c>
      <c r="C33" s="4">
        <v>14</v>
      </c>
      <c r="D33" s="4" t="s">
        <v>1540</v>
      </c>
      <c r="E33" s="4">
        <v>2024</v>
      </c>
      <c r="G33" s="97"/>
      <c r="H33" s="20" t="s">
        <v>1549</v>
      </c>
      <c r="I33" s="4">
        <v>34</v>
      </c>
      <c r="J33" s="4" t="s">
        <v>1540</v>
      </c>
      <c r="K33" s="4">
        <v>2024</v>
      </c>
      <c r="M33" s="97"/>
      <c r="N33" s="20" t="s">
        <v>1549</v>
      </c>
      <c r="O33" s="4">
        <v>35</v>
      </c>
      <c r="P33" s="4" t="s">
        <v>1540</v>
      </c>
      <c r="Q33" s="4">
        <v>2024</v>
      </c>
      <c r="S33" s="97"/>
      <c r="T33" s="20" t="s">
        <v>1549</v>
      </c>
      <c r="U33" s="4">
        <v>30</v>
      </c>
      <c r="V33" s="4" t="s">
        <v>1540</v>
      </c>
      <c r="W33" s="4">
        <v>2024</v>
      </c>
    </row>
    <row r="34" spans="1:23" x14ac:dyDescent="0.25">
      <c r="A34" s="98"/>
      <c r="B34" s="20" t="s">
        <v>1550</v>
      </c>
      <c r="C34" s="4">
        <v>7</v>
      </c>
      <c r="D34" s="4" t="s">
        <v>1540</v>
      </c>
      <c r="E34" s="4">
        <v>2024</v>
      </c>
      <c r="G34" s="98"/>
      <c r="H34" s="20" t="s">
        <v>1550</v>
      </c>
      <c r="I34" s="4">
        <v>25</v>
      </c>
      <c r="J34" s="4" t="s">
        <v>1540</v>
      </c>
      <c r="K34" s="4">
        <v>2024</v>
      </c>
      <c r="M34" s="98"/>
      <c r="N34" s="20" t="s">
        <v>1550</v>
      </c>
      <c r="O34" s="4">
        <v>11</v>
      </c>
      <c r="P34" s="4" t="s">
        <v>1540</v>
      </c>
      <c r="Q34" s="4">
        <v>2024</v>
      </c>
      <c r="S34" s="98"/>
      <c r="T34" s="20" t="s">
        <v>1550</v>
      </c>
      <c r="U34" s="4">
        <v>14</v>
      </c>
      <c r="V34" s="4" t="s">
        <v>1540</v>
      </c>
      <c r="W34" s="4">
        <v>2024</v>
      </c>
    </row>
    <row r="35" spans="1:23" x14ac:dyDescent="0.25">
      <c r="B35" s="8"/>
    </row>
    <row r="36" spans="1:23" x14ac:dyDescent="0.25">
      <c r="B36" s="8"/>
    </row>
    <row r="37" spans="1:23" x14ac:dyDescent="0.25">
      <c r="B37" s="8"/>
    </row>
  </sheetData>
  <mergeCells count="61">
    <mergeCell ref="M26:M28"/>
    <mergeCell ref="A17:A19"/>
    <mergeCell ref="B3:B4"/>
    <mergeCell ref="A20:A22"/>
    <mergeCell ref="A29:A31"/>
    <mergeCell ref="G14:G16"/>
    <mergeCell ref="A5:A7"/>
    <mergeCell ref="A23:A25"/>
    <mergeCell ref="A8:A10"/>
    <mergeCell ref="A26:A28"/>
    <mergeCell ref="A32:A34"/>
    <mergeCell ref="S5:S7"/>
    <mergeCell ref="M32:M34"/>
    <mergeCell ref="G29:G31"/>
    <mergeCell ref="M14:M16"/>
    <mergeCell ref="G5:G7"/>
    <mergeCell ref="A14:A16"/>
    <mergeCell ref="M23:M25"/>
    <mergeCell ref="M17:M19"/>
    <mergeCell ref="G32:G34"/>
    <mergeCell ref="M8:M10"/>
    <mergeCell ref="G26:G28"/>
    <mergeCell ref="S26:S28"/>
    <mergeCell ref="S32:S34"/>
    <mergeCell ref="G23:G25"/>
    <mergeCell ref="S14:S16"/>
    <mergeCell ref="A1:W1"/>
    <mergeCell ref="S20:S22"/>
    <mergeCell ref="A3:A4"/>
    <mergeCell ref="M29:M31"/>
    <mergeCell ref="S29:S31"/>
    <mergeCell ref="M3:M4"/>
    <mergeCell ref="I3:I4"/>
    <mergeCell ref="G3:G4"/>
    <mergeCell ref="U3:U4"/>
    <mergeCell ref="D3:D4"/>
    <mergeCell ref="W3:W4"/>
    <mergeCell ref="G8:G10"/>
    <mergeCell ref="M5:M7"/>
    <mergeCell ref="M20:M22"/>
    <mergeCell ref="G17:G19"/>
    <mergeCell ref="G11:G13"/>
    <mergeCell ref="A11:A13"/>
    <mergeCell ref="T3:T4"/>
    <mergeCell ref="J3:J4"/>
    <mergeCell ref="S11:S13"/>
    <mergeCell ref="S8:S10"/>
    <mergeCell ref="M11:M13"/>
    <mergeCell ref="N3:N4"/>
    <mergeCell ref="S23:S25"/>
    <mergeCell ref="K3:K4"/>
    <mergeCell ref="C3:C4"/>
    <mergeCell ref="O3:O4"/>
    <mergeCell ref="P3:P4"/>
    <mergeCell ref="H3:H4"/>
    <mergeCell ref="G20:G22"/>
    <mergeCell ref="V3:V4"/>
    <mergeCell ref="E3:E4"/>
    <mergeCell ref="Q3:Q4"/>
    <mergeCell ref="S3:S4"/>
    <mergeCell ref="S17:S1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4"/>
  <sheetViews>
    <sheetView workbookViewId="0"/>
  </sheetViews>
  <sheetFormatPr defaultRowHeight="15" x14ac:dyDescent="0.25"/>
  <cols>
    <col min="1" max="1" width="19.7109375" customWidth="1"/>
    <col min="2" max="2" width="19.140625" customWidth="1"/>
    <col min="3" max="3" width="20.42578125" customWidth="1"/>
    <col min="4" max="4" width="16.140625" customWidth="1"/>
    <col min="5" max="5" width="15.5703125" customWidth="1"/>
  </cols>
  <sheetData>
    <row r="1" spans="1:5" x14ac:dyDescent="0.25">
      <c r="A1" s="103" t="s">
        <v>1552</v>
      </c>
      <c r="B1" s="91"/>
      <c r="C1" s="91"/>
      <c r="D1" s="91"/>
      <c r="E1" s="91"/>
    </row>
    <row r="3" spans="1:5" x14ac:dyDescent="0.25">
      <c r="A3" s="99" t="s">
        <v>1534</v>
      </c>
      <c r="B3" s="99" t="s">
        <v>1553</v>
      </c>
      <c r="C3" s="99" t="s">
        <v>1554</v>
      </c>
      <c r="D3" s="99" t="s">
        <v>1537</v>
      </c>
      <c r="E3" s="99" t="s">
        <v>1538</v>
      </c>
    </row>
    <row r="4" spans="1:5" x14ac:dyDescent="0.25">
      <c r="A4" s="98"/>
      <c r="B4" s="98"/>
      <c r="C4" s="98"/>
      <c r="D4" s="98"/>
      <c r="E4" s="98"/>
    </row>
    <row r="5" spans="1:5" x14ac:dyDescent="0.25">
      <c r="A5" s="20" t="s">
        <v>1555</v>
      </c>
      <c r="B5" s="4">
        <v>3209010</v>
      </c>
      <c r="C5" s="26">
        <v>178</v>
      </c>
      <c r="D5" s="4" t="s">
        <v>1556</v>
      </c>
      <c r="E5" s="4">
        <v>2024</v>
      </c>
    </row>
    <row r="6" spans="1:5" x14ac:dyDescent="0.25">
      <c r="A6" s="20" t="s">
        <v>1557</v>
      </c>
      <c r="B6" s="4">
        <v>3209020</v>
      </c>
      <c r="C6" s="26">
        <v>166</v>
      </c>
      <c r="D6" s="4" t="s">
        <v>1556</v>
      </c>
      <c r="E6" s="4">
        <v>2024</v>
      </c>
    </row>
    <row r="7" spans="1:5" x14ac:dyDescent="0.25">
      <c r="A7" s="20" t="s">
        <v>1558</v>
      </c>
      <c r="B7" s="4">
        <v>3209030</v>
      </c>
      <c r="C7" s="26">
        <v>144</v>
      </c>
      <c r="D7" s="4" t="s">
        <v>1556</v>
      </c>
      <c r="E7" s="4">
        <v>2024</v>
      </c>
    </row>
    <row r="8" spans="1:5" x14ac:dyDescent="0.25">
      <c r="A8" s="20" t="s">
        <v>1559</v>
      </c>
      <c r="B8" s="4">
        <v>3209031</v>
      </c>
      <c r="C8" s="26">
        <v>370</v>
      </c>
      <c r="D8" s="4" t="s">
        <v>1556</v>
      </c>
      <c r="E8" s="4">
        <v>2024</v>
      </c>
    </row>
    <row r="9" spans="1:5" x14ac:dyDescent="0.25">
      <c r="A9" s="20" t="s">
        <v>1560</v>
      </c>
      <c r="B9" s="4">
        <v>3209040</v>
      </c>
      <c r="C9" s="26">
        <v>231</v>
      </c>
      <c r="D9" s="4" t="s">
        <v>1556</v>
      </c>
      <c r="E9" s="4">
        <v>2024</v>
      </c>
    </row>
    <row r="10" spans="1:5" x14ac:dyDescent="0.25">
      <c r="A10" s="20" t="s">
        <v>1561</v>
      </c>
      <c r="B10" s="4">
        <v>3209050</v>
      </c>
      <c r="C10" s="26">
        <v>144</v>
      </c>
      <c r="D10" s="4" t="s">
        <v>1556</v>
      </c>
      <c r="E10" s="4">
        <v>2024</v>
      </c>
    </row>
    <row r="11" spans="1:5" x14ac:dyDescent="0.25">
      <c r="A11" s="20" t="s">
        <v>1562</v>
      </c>
      <c r="B11" s="4">
        <v>3209060</v>
      </c>
      <c r="C11" s="26">
        <v>196</v>
      </c>
      <c r="D11" s="4" t="s">
        <v>1556</v>
      </c>
      <c r="E11" s="4">
        <v>2024</v>
      </c>
    </row>
    <row r="12" spans="1:5" x14ac:dyDescent="0.25">
      <c r="A12" s="20" t="s">
        <v>1563</v>
      </c>
      <c r="B12" s="4">
        <v>3209061</v>
      </c>
      <c r="C12" s="26">
        <v>127</v>
      </c>
      <c r="D12" s="4" t="s">
        <v>1556</v>
      </c>
      <c r="E12" s="4">
        <v>2024</v>
      </c>
    </row>
    <row r="13" spans="1:5" x14ac:dyDescent="0.25">
      <c r="A13" s="20" t="s">
        <v>1564</v>
      </c>
      <c r="B13" s="4">
        <v>3209070</v>
      </c>
      <c r="C13" s="26">
        <v>158</v>
      </c>
      <c r="D13" s="4" t="s">
        <v>1556</v>
      </c>
      <c r="E13" s="4">
        <v>2024</v>
      </c>
    </row>
    <row r="14" spans="1:5" x14ac:dyDescent="0.25">
      <c r="A14" s="20" t="s">
        <v>1565</v>
      </c>
      <c r="B14" s="4">
        <v>3209080</v>
      </c>
      <c r="C14" s="26">
        <v>186</v>
      </c>
      <c r="D14" s="4" t="s">
        <v>1556</v>
      </c>
      <c r="E14" s="4">
        <v>2024</v>
      </c>
    </row>
    <row r="15" spans="1:5" x14ac:dyDescent="0.25">
      <c r="A15" s="20" t="s">
        <v>1566</v>
      </c>
      <c r="B15" s="4">
        <v>3209081</v>
      </c>
      <c r="C15" s="26">
        <v>108</v>
      </c>
      <c r="D15" s="4" t="s">
        <v>1556</v>
      </c>
      <c r="E15" s="4">
        <v>2024</v>
      </c>
    </row>
    <row r="16" spans="1:5" x14ac:dyDescent="0.25">
      <c r="A16" s="20" t="s">
        <v>1567</v>
      </c>
      <c r="B16" s="4">
        <v>3209090</v>
      </c>
      <c r="C16" s="26">
        <v>200</v>
      </c>
      <c r="D16" s="4" t="s">
        <v>1556</v>
      </c>
      <c r="E16" s="4">
        <v>2024</v>
      </c>
    </row>
    <row r="17" spans="1:5" x14ac:dyDescent="0.25">
      <c r="A17" s="20" t="s">
        <v>1568</v>
      </c>
      <c r="B17" s="4">
        <v>3209100</v>
      </c>
      <c r="C17" s="26">
        <v>149</v>
      </c>
      <c r="D17" s="4" t="s">
        <v>1556</v>
      </c>
      <c r="E17" s="4">
        <v>2024</v>
      </c>
    </row>
    <row r="18" spans="1:5" x14ac:dyDescent="0.25">
      <c r="A18" s="20" t="s">
        <v>1569</v>
      </c>
      <c r="B18" s="4">
        <v>3209111</v>
      </c>
      <c r="C18" s="26">
        <v>223</v>
      </c>
      <c r="D18" s="4" t="s">
        <v>1556</v>
      </c>
      <c r="E18" s="4">
        <v>2024</v>
      </c>
    </row>
    <row r="19" spans="1:5" x14ac:dyDescent="0.25">
      <c r="A19" s="20" t="s">
        <v>1570</v>
      </c>
      <c r="B19" s="4">
        <v>3209120</v>
      </c>
      <c r="C19" s="26">
        <v>400</v>
      </c>
      <c r="D19" s="4" t="s">
        <v>1556</v>
      </c>
      <c r="E19" s="4">
        <v>2024</v>
      </c>
    </row>
    <row r="20" spans="1:5" x14ac:dyDescent="0.25">
      <c r="A20" s="20" t="s">
        <v>1571</v>
      </c>
      <c r="B20" s="4">
        <v>3209121</v>
      </c>
      <c r="C20" s="26">
        <v>619</v>
      </c>
      <c r="D20" s="4" t="s">
        <v>1556</v>
      </c>
      <c r="E20" s="4">
        <v>2024</v>
      </c>
    </row>
    <row r="21" spans="1:5" x14ac:dyDescent="0.25">
      <c r="A21" s="20" t="s">
        <v>1572</v>
      </c>
      <c r="B21" s="4">
        <v>3209130</v>
      </c>
      <c r="C21" s="26">
        <v>234</v>
      </c>
      <c r="D21" s="4" t="s">
        <v>1556</v>
      </c>
      <c r="E21" s="4">
        <v>2024</v>
      </c>
    </row>
    <row r="22" spans="1:5" x14ac:dyDescent="0.25">
      <c r="A22" s="20" t="s">
        <v>1573</v>
      </c>
      <c r="B22" s="4">
        <v>3209140</v>
      </c>
      <c r="C22" s="26">
        <v>283</v>
      </c>
      <c r="D22" s="4" t="s">
        <v>1556</v>
      </c>
      <c r="E22" s="4">
        <v>2024</v>
      </c>
    </row>
    <row r="23" spans="1:5" x14ac:dyDescent="0.25">
      <c r="A23" s="20" t="s">
        <v>1574</v>
      </c>
      <c r="B23" s="4">
        <v>3209150</v>
      </c>
      <c r="C23" s="26">
        <v>204</v>
      </c>
      <c r="D23" s="4" t="s">
        <v>1556</v>
      </c>
      <c r="E23" s="4">
        <v>2024</v>
      </c>
    </row>
    <row r="24" spans="1:5" x14ac:dyDescent="0.25">
      <c r="A24" s="20" t="s">
        <v>1575</v>
      </c>
      <c r="B24" s="4">
        <v>3209162</v>
      </c>
      <c r="C24" s="26">
        <v>179</v>
      </c>
      <c r="D24" s="4" t="s">
        <v>1556</v>
      </c>
      <c r="E24" s="4">
        <v>2024</v>
      </c>
    </row>
    <row r="25" spans="1:5" x14ac:dyDescent="0.25">
      <c r="A25" s="20" t="s">
        <v>1576</v>
      </c>
      <c r="B25" s="4">
        <v>3209171</v>
      </c>
      <c r="C25" s="26">
        <v>241</v>
      </c>
      <c r="D25" s="4" t="s">
        <v>1556</v>
      </c>
      <c r="E25" s="4">
        <v>2024</v>
      </c>
    </row>
    <row r="26" spans="1:5" x14ac:dyDescent="0.25">
      <c r="A26" s="20" t="s">
        <v>1577</v>
      </c>
      <c r="B26" s="4">
        <v>3209180</v>
      </c>
      <c r="C26" s="26">
        <v>200</v>
      </c>
      <c r="D26" s="4" t="s">
        <v>1556</v>
      </c>
      <c r="E26" s="4">
        <v>2024</v>
      </c>
    </row>
    <row r="27" spans="1:5" x14ac:dyDescent="0.25">
      <c r="A27" s="20" t="s">
        <v>1578</v>
      </c>
      <c r="B27" s="4">
        <v>3209190</v>
      </c>
      <c r="C27" s="26">
        <v>187</v>
      </c>
      <c r="D27" s="4" t="s">
        <v>1556</v>
      </c>
      <c r="E27" s="4">
        <v>2024</v>
      </c>
    </row>
    <row r="28" spans="1:5" x14ac:dyDescent="0.25">
      <c r="A28" s="20" t="s">
        <v>1579</v>
      </c>
      <c r="B28" s="4">
        <v>3209200</v>
      </c>
      <c r="C28" s="26">
        <v>271</v>
      </c>
      <c r="D28" s="4" t="s">
        <v>1556</v>
      </c>
      <c r="E28" s="4">
        <v>2024</v>
      </c>
    </row>
    <row r="29" spans="1:5" x14ac:dyDescent="0.25">
      <c r="A29" s="20" t="s">
        <v>1580</v>
      </c>
      <c r="B29" s="4">
        <v>3209201</v>
      </c>
      <c r="C29" s="26">
        <v>137</v>
      </c>
      <c r="D29" s="4" t="s">
        <v>1556</v>
      </c>
      <c r="E29" s="4">
        <v>2024</v>
      </c>
    </row>
    <row r="30" spans="1:5" x14ac:dyDescent="0.25">
      <c r="A30" s="20" t="s">
        <v>1581</v>
      </c>
      <c r="B30" s="4">
        <v>3209210</v>
      </c>
      <c r="C30" s="26">
        <v>117</v>
      </c>
      <c r="D30" s="4" t="s">
        <v>1556</v>
      </c>
      <c r="E30" s="4">
        <v>2024</v>
      </c>
    </row>
    <row r="31" spans="1:5" x14ac:dyDescent="0.25">
      <c r="A31" s="20" t="s">
        <v>1582</v>
      </c>
      <c r="B31" s="4">
        <v>3209220</v>
      </c>
      <c r="C31" s="26">
        <v>257</v>
      </c>
      <c r="D31" s="4" t="s">
        <v>1556</v>
      </c>
      <c r="E31" s="4">
        <v>2024</v>
      </c>
    </row>
    <row r="32" spans="1:5" x14ac:dyDescent="0.25">
      <c r="A32" s="20" t="s">
        <v>1583</v>
      </c>
      <c r="B32" s="4">
        <v>3209230</v>
      </c>
      <c r="C32" s="26">
        <v>232</v>
      </c>
      <c r="D32" s="4" t="s">
        <v>1556</v>
      </c>
      <c r="E32" s="4">
        <v>2024</v>
      </c>
    </row>
    <row r="33" spans="1:5" x14ac:dyDescent="0.25">
      <c r="A33" s="20" t="s">
        <v>1584</v>
      </c>
      <c r="B33" s="4">
        <v>3209231</v>
      </c>
      <c r="C33" s="26">
        <v>137</v>
      </c>
      <c r="D33" s="4" t="s">
        <v>1556</v>
      </c>
      <c r="E33" s="4">
        <v>2024</v>
      </c>
    </row>
    <row r="34" spans="1:5" x14ac:dyDescent="0.25">
      <c r="A34" s="20" t="s">
        <v>1585</v>
      </c>
      <c r="B34" s="4">
        <v>3209041</v>
      </c>
      <c r="C34" s="26">
        <v>204</v>
      </c>
      <c r="D34" s="4" t="s">
        <v>1556</v>
      </c>
      <c r="E34" s="4">
        <v>2024</v>
      </c>
    </row>
    <row r="35" spans="1:5" x14ac:dyDescent="0.25">
      <c r="A35" s="20" t="s">
        <v>1586</v>
      </c>
      <c r="B35" s="4">
        <v>3209141</v>
      </c>
      <c r="C35" s="26">
        <v>313</v>
      </c>
      <c r="D35" s="4" t="s">
        <v>1556</v>
      </c>
      <c r="E35" s="4">
        <v>2024</v>
      </c>
    </row>
    <row r="36" spans="1:5" x14ac:dyDescent="0.25">
      <c r="A36" s="20" t="s">
        <v>1587</v>
      </c>
      <c r="B36" s="4">
        <v>3209011</v>
      </c>
      <c r="C36" s="26">
        <v>82</v>
      </c>
      <c r="D36" s="4" t="s">
        <v>1556</v>
      </c>
      <c r="E36" s="4">
        <v>2024</v>
      </c>
    </row>
    <row r="37" spans="1:5" x14ac:dyDescent="0.25">
      <c r="A37" s="20" t="s">
        <v>1588</v>
      </c>
      <c r="B37" s="4">
        <v>3209021</v>
      </c>
      <c r="C37" s="26">
        <v>122</v>
      </c>
      <c r="D37" s="4" t="s">
        <v>1556</v>
      </c>
      <c r="E37" s="4">
        <v>2024</v>
      </c>
    </row>
    <row r="38" spans="1:5" x14ac:dyDescent="0.25">
      <c r="A38" s="20" t="s">
        <v>1589</v>
      </c>
      <c r="B38" s="4">
        <v>3209051</v>
      </c>
      <c r="C38" s="26">
        <v>95</v>
      </c>
      <c r="D38" s="4" t="s">
        <v>1556</v>
      </c>
      <c r="E38" s="4">
        <v>2024</v>
      </c>
    </row>
    <row r="39" spans="1:5" x14ac:dyDescent="0.25">
      <c r="A39" s="20" t="s">
        <v>1590</v>
      </c>
      <c r="B39" s="4">
        <v>3209161</v>
      </c>
      <c r="C39" s="26">
        <v>145</v>
      </c>
      <c r="D39" s="4" t="s">
        <v>1556</v>
      </c>
      <c r="E39" s="4">
        <v>2024</v>
      </c>
    </row>
    <row r="40" spans="1:5" x14ac:dyDescent="0.25">
      <c r="A40" s="20" t="s">
        <v>1591</v>
      </c>
      <c r="B40" s="4">
        <v>3209151</v>
      </c>
      <c r="C40" s="26">
        <v>199</v>
      </c>
      <c r="D40" s="4" t="s">
        <v>1556</v>
      </c>
      <c r="E40" s="4">
        <v>2024</v>
      </c>
    </row>
    <row r="41" spans="1:5" x14ac:dyDescent="0.25">
      <c r="A41" s="20" t="s">
        <v>1592</v>
      </c>
      <c r="B41" s="4">
        <v>3209211</v>
      </c>
      <c r="C41" s="26">
        <v>156</v>
      </c>
      <c r="D41" s="4" t="s">
        <v>1556</v>
      </c>
      <c r="E41" s="4">
        <v>2024</v>
      </c>
    </row>
    <row r="42" spans="1:5" x14ac:dyDescent="0.25">
      <c r="A42" s="20" t="s">
        <v>1593</v>
      </c>
      <c r="B42" s="4">
        <v>3209101</v>
      </c>
      <c r="C42" s="26">
        <v>183</v>
      </c>
      <c r="D42" s="4" t="s">
        <v>1556</v>
      </c>
      <c r="E42" s="4">
        <v>2024</v>
      </c>
    </row>
    <row r="43" spans="1:5" x14ac:dyDescent="0.25">
      <c r="A43" s="20" t="s">
        <v>1594</v>
      </c>
      <c r="B43" s="4">
        <v>3209181</v>
      </c>
      <c r="C43" s="26">
        <v>534</v>
      </c>
      <c r="D43" s="4" t="s">
        <v>1556</v>
      </c>
      <c r="E43" s="4">
        <v>2024</v>
      </c>
    </row>
    <row r="44" spans="1:5" x14ac:dyDescent="0.25">
      <c r="A44" s="20" t="s">
        <v>1595</v>
      </c>
      <c r="B44" s="4">
        <v>3209191</v>
      </c>
      <c r="C44" s="26">
        <v>153</v>
      </c>
      <c r="D44" s="4" t="s">
        <v>1556</v>
      </c>
      <c r="E44" s="4">
        <v>2024</v>
      </c>
    </row>
  </sheetData>
  <mergeCells count="6">
    <mergeCell ref="A1:E1"/>
    <mergeCell ref="C3:C4"/>
    <mergeCell ref="A3:A4"/>
    <mergeCell ref="B3:B4"/>
    <mergeCell ref="E3:E4"/>
    <mergeCell ref="D3:D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M54"/>
  <sheetViews>
    <sheetView workbookViewId="0"/>
  </sheetViews>
  <sheetFormatPr defaultRowHeight="15" x14ac:dyDescent="0.25"/>
  <cols>
    <col min="1" max="1" width="19" customWidth="1"/>
    <col min="2" max="2" width="19.85546875" customWidth="1"/>
    <col min="3" max="3" width="16.7109375" customWidth="1"/>
    <col min="4" max="4" width="18.7109375" customWidth="1"/>
    <col min="5" max="5" width="17.42578125" customWidth="1"/>
    <col min="6" max="6" width="15.42578125" customWidth="1"/>
    <col min="7" max="7" width="14.28515625" customWidth="1"/>
    <col min="8" max="8" width="16.42578125" customWidth="1"/>
    <col min="12" max="12" width="14.42578125" customWidth="1"/>
    <col min="13" max="13" width="14.7109375" customWidth="1"/>
  </cols>
  <sheetData>
    <row r="3" spans="1:13" x14ac:dyDescent="0.25">
      <c r="A3" s="99" t="s">
        <v>1553</v>
      </c>
      <c r="B3" s="99" t="s">
        <v>1534</v>
      </c>
      <c r="C3" s="99" t="s">
        <v>45</v>
      </c>
      <c r="D3" s="99" t="s">
        <v>1596</v>
      </c>
      <c r="E3" s="99" t="s">
        <v>46</v>
      </c>
      <c r="F3" s="99" t="s">
        <v>1597</v>
      </c>
      <c r="G3" s="99" t="s">
        <v>1539</v>
      </c>
      <c r="H3" s="99" t="s">
        <v>1541</v>
      </c>
      <c r="I3" s="99" t="s">
        <v>1542</v>
      </c>
      <c r="J3" s="99" t="s">
        <v>1543</v>
      </c>
      <c r="K3" s="99" t="s">
        <v>1547</v>
      </c>
      <c r="L3" s="99" t="s">
        <v>1549</v>
      </c>
      <c r="M3" s="99" t="s">
        <v>1550</v>
      </c>
    </row>
    <row r="4" spans="1:13" x14ac:dyDescent="0.25">
      <c r="A4" s="98"/>
      <c r="B4" s="98"/>
      <c r="C4" s="98"/>
      <c r="D4" s="98"/>
      <c r="E4" s="98"/>
      <c r="F4" s="98"/>
      <c r="G4" s="98"/>
      <c r="H4" s="98"/>
      <c r="I4" s="98"/>
      <c r="J4" s="98"/>
      <c r="K4" s="98"/>
      <c r="L4" s="98"/>
      <c r="M4" s="98"/>
    </row>
    <row r="5" spans="1:13" x14ac:dyDescent="0.25">
      <c r="A5" s="4">
        <v>3209010</v>
      </c>
      <c r="B5" s="20" t="s">
        <v>1555</v>
      </c>
      <c r="C5" s="29">
        <f t="shared" ref="C5:C44" si="0">D5/920000</f>
        <v>4921</v>
      </c>
      <c r="D5" s="11">
        <v>4527320000</v>
      </c>
      <c r="E5" s="11">
        <f t="shared" ref="E5:E44" si="1">D5*20%</f>
        <v>905464000</v>
      </c>
      <c r="F5" s="28">
        <v>178</v>
      </c>
      <c r="G5" s="28">
        <v>10</v>
      </c>
      <c r="H5" s="28">
        <v>2</v>
      </c>
      <c r="I5" s="28">
        <v>66</v>
      </c>
      <c r="J5" s="28">
        <v>2</v>
      </c>
      <c r="K5" s="28">
        <v>74</v>
      </c>
      <c r="L5" s="28">
        <v>44</v>
      </c>
      <c r="M5" s="28">
        <v>48</v>
      </c>
    </row>
    <row r="6" spans="1:13" x14ac:dyDescent="0.25">
      <c r="A6" s="4">
        <v>3209020</v>
      </c>
      <c r="B6" s="20" t="s">
        <v>1557</v>
      </c>
      <c r="C6" s="29">
        <f t="shared" si="0"/>
        <v>3984</v>
      </c>
      <c r="D6" s="11">
        <v>3665280000</v>
      </c>
      <c r="E6" s="11">
        <f t="shared" si="1"/>
        <v>733056000</v>
      </c>
      <c r="F6" s="28">
        <v>166</v>
      </c>
      <c r="G6" s="28">
        <v>11</v>
      </c>
      <c r="H6" s="28">
        <v>5</v>
      </c>
      <c r="I6" s="28">
        <v>98</v>
      </c>
      <c r="J6" s="28">
        <v>3</v>
      </c>
      <c r="K6" s="28">
        <v>49</v>
      </c>
      <c r="L6" s="28">
        <v>19</v>
      </c>
      <c r="M6" s="28">
        <v>10</v>
      </c>
    </row>
    <row r="7" spans="1:13" x14ac:dyDescent="0.25">
      <c r="A7" s="4">
        <v>3209030</v>
      </c>
      <c r="B7" s="20" t="s">
        <v>1558</v>
      </c>
      <c r="C7" s="29">
        <f t="shared" si="0"/>
        <v>3852</v>
      </c>
      <c r="D7" s="11">
        <v>3543840000</v>
      </c>
      <c r="E7" s="11">
        <f t="shared" si="1"/>
        <v>708768000</v>
      </c>
      <c r="F7" s="28">
        <v>144</v>
      </c>
      <c r="G7" s="28">
        <v>11</v>
      </c>
      <c r="H7" s="28">
        <v>1</v>
      </c>
      <c r="I7" s="28">
        <v>63</v>
      </c>
      <c r="J7" s="28">
        <v>4</v>
      </c>
      <c r="K7" s="28">
        <v>102</v>
      </c>
      <c r="L7" s="28">
        <v>30</v>
      </c>
      <c r="M7" s="28">
        <v>14</v>
      </c>
    </row>
    <row r="8" spans="1:13" x14ac:dyDescent="0.25">
      <c r="A8" s="4">
        <v>3209031</v>
      </c>
      <c r="B8" s="20" t="s">
        <v>1559</v>
      </c>
      <c r="C8" s="29">
        <f t="shared" si="0"/>
        <v>4632</v>
      </c>
      <c r="D8" s="11">
        <v>4261440000</v>
      </c>
      <c r="E8" s="11">
        <f t="shared" si="1"/>
        <v>852288000</v>
      </c>
      <c r="F8" s="28">
        <v>370</v>
      </c>
      <c r="G8" s="28">
        <v>11</v>
      </c>
      <c r="H8" s="28">
        <v>4</v>
      </c>
      <c r="I8" s="28">
        <v>80</v>
      </c>
      <c r="J8" s="28">
        <v>3</v>
      </c>
      <c r="K8" s="28">
        <v>63</v>
      </c>
      <c r="L8" s="28">
        <v>27</v>
      </c>
      <c r="M8" s="28">
        <v>13</v>
      </c>
    </row>
    <row r="9" spans="1:13" x14ac:dyDescent="0.25">
      <c r="A9" s="4">
        <v>3209040</v>
      </c>
      <c r="B9" s="20" t="s">
        <v>1560</v>
      </c>
      <c r="C9" s="29">
        <f t="shared" si="0"/>
        <v>6678</v>
      </c>
      <c r="D9" s="11">
        <v>6143760000</v>
      </c>
      <c r="E9" s="11">
        <f t="shared" si="1"/>
        <v>1228752000</v>
      </c>
      <c r="F9" s="28">
        <v>231</v>
      </c>
      <c r="G9" s="28">
        <v>15</v>
      </c>
      <c r="H9" s="28">
        <v>5</v>
      </c>
      <c r="I9" s="28">
        <v>111</v>
      </c>
      <c r="J9" s="28">
        <v>8</v>
      </c>
      <c r="K9" s="28">
        <v>89</v>
      </c>
      <c r="L9" s="28">
        <v>35</v>
      </c>
      <c r="M9" s="28">
        <v>5</v>
      </c>
    </row>
    <row r="10" spans="1:13" x14ac:dyDescent="0.25">
      <c r="A10" s="4">
        <v>3209050</v>
      </c>
      <c r="B10" s="20" t="s">
        <v>1561</v>
      </c>
      <c r="C10" s="29">
        <f t="shared" si="0"/>
        <v>3201</v>
      </c>
      <c r="D10" s="11">
        <v>2944920000</v>
      </c>
      <c r="E10" s="11">
        <f t="shared" si="1"/>
        <v>588984000</v>
      </c>
      <c r="F10" s="28">
        <v>144</v>
      </c>
      <c r="G10" s="28">
        <v>12</v>
      </c>
      <c r="H10" s="28">
        <v>2</v>
      </c>
      <c r="I10" s="28">
        <v>73</v>
      </c>
      <c r="J10" s="28">
        <v>2</v>
      </c>
      <c r="K10" s="28">
        <v>103</v>
      </c>
      <c r="L10" s="28">
        <v>36</v>
      </c>
      <c r="M10" s="28">
        <v>8</v>
      </c>
    </row>
    <row r="11" spans="1:13" x14ac:dyDescent="0.25">
      <c r="A11" s="4">
        <v>3209060</v>
      </c>
      <c r="B11" s="20" t="s">
        <v>1562</v>
      </c>
      <c r="C11" s="29">
        <f t="shared" si="0"/>
        <v>5255</v>
      </c>
      <c r="D11" s="11">
        <v>4834600000</v>
      </c>
      <c r="E11" s="11">
        <f t="shared" si="1"/>
        <v>966920000</v>
      </c>
      <c r="F11" s="28">
        <v>196</v>
      </c>
      <c r="G11" s="28">
        <v>17</v>
      </c>
      <c r="H11" s="28">
        <v>9</v>
      </c>
      <c r="I11" s="28">
        <v>115</v>
      </c>
      <c r="J11" s="28">
        <v>5</v>
      </c>
      <c r="K11" s="28">
        <v>174</v>
      </c>
      <c r="L11" s="28">
        <v>38</v>
      </c>
      <c r="M11" s="28">
        <v>15</v>
      </c>
    </row>
    <row r="12" spans="1:13" x14ac:dyDescent="0.25">
      <c r="A12" s="4">
        <v>3209061</v>
      </c>
      <c r="B12" s="20" t="s">
        <v>1563</v>
      </c>
      <c r="C12" s="29">
        <f t="shared" si="0"/>
        <v>3108</v>
      </c>
      <c r="D12" s="11">
        <v>2859360000</v>
      </c>
      <c r="E12" s="11">
        <f t="shared" si="1"/>
        <v>571872000</v>
      </c>
      <c r="F12" s="28">
        <v>127</v>
      </c>
      <c r="G12" s="28">
        <v>11</v>
      </c>
      <c r="H12" s="28">
        <v>0</v>
      </c>
      <c r="I12" s="28">
        <v>50</v>
      </c>
      <c r="J12" s="28">
        <v>4</v>
      </c>
      <c r="K12" s="28">
        <v>149</v>
      </c>
      <c r="L12" s="28">
        <v>25</v>
      </c>
      <c r="M12" s="28">
        <v>10</v>
      </c>
    </row>
    <row r="13" spans="1:13" x14ac:dyDescent="0.25">
      <c r="A13" s="4">
        <v>3209070</v>
      </c>
      <c r="B13" s="20" t="s">
        <v>1564</v>
      </c>
      <c r="C13" s="29">
        <f t="shared" si="0"/>
        <v>3905</v>
      </c>
      <c r="D13" s="11">
        <v>3592600000</v>
      </c>
      <c r="E13" s="11">
        <f t="shared" si="1"/>
        <v>718520000</v>
      </c>
      <c r="F13" s="28">
        <v>158</v>
      </c>
      <c r="G13" s="28">
        <v>15</v>
      </c>
      <c r="H13" s="28">
        <v>8</v>
      </c>
      <c r="I13" s="28">
        <v>96</v>
      </c>
      <c r="J13" s="28">
        <v>6</v>
      </c>
      <c r="K13" s="28">
        <v>103</v>
      </c>
      <c r="L13" s="28">
        <v>30</v>
      </c>
      <c r="M13" s="28">
        <v>4</v>
      </c>
    </row>
    <row r="14" spans="1:13" x14ac:dyDescent="0.25">
      <c r="A14" s="4">
        <v>3209080</v>
      </c>
      <c r="B14" s="20" t="s">
        <v>1565</v>
      </c>
      <c r="C14" s="29">
        <f t="shared" si="0"/>
        <v>4633</v>
      </c>
      <c r="D14" s="11">
        <v>4262360000</v>
      </c>
      <c r="E14" s="11">
        <f t="shared" si="1"/>
        <v>852472000</v>
      </c>
      <c r="F14" s="28">
        <v>186</v>
      </c>
      <c r="G14" s="28">
        <v>20</v>
      </c>
      <c r="H14" s="28">
        <v>4</v>
      </c>
      <c r="I14" s="28">
        <v>85</v>
      </c>
      <c r="J14" s="28">
        <v>3</v>
      </c>
      <c r="K14" s="28">
        <v>65</v>
      </c>
      <c r="L14" s="28">
        <v>14</v>
      </c>
      <c r="M14" s="28">
        <v>7</v>
      </c>
    </row>
    <row r="15" spans="1:13" x14ac:dyDescent="0.25">
      <c r="A15" s="4">
        <v>3209081</v>
      </c>
      <c r="B15" s="20" t="s">
        <v>1566</v>
      </c>
      <c r="C15" s="29">
        <f t="shared" si="0"/>
        <v>3104</v>
      </c>
      <c r="D15" s="11">
        <v>2855680000</v>
      </c>
      <c r="E15" s="11">
        <f t="shared" si="1"/>
        <v>571136000</v>
      </c>
      <c r="F15" s="28">
        <v>108</v>
      </c>
      <c r="G15" s="28">
        <v>9</v>
      </c>
      <c r="H15" s="28">
        <v>1</v>
      </c>
      <c r="I15" s="28">
        <v>40</v>
      </c>
      <c r="J15" s="28">
        <v>2</v>
      </c>
      <c r="K15" s="28">
        <v>102</v>
      </c>
      <c r="L15" s="28">
        <v>25</v>
      </c>
      <c r="M15" s="28">
        <v>45</v>
      </c>
    </row>
    <row r="16" spans="1:13" x14ac:dyDescent="0.25">
      <c r="A16" s="4">
        <v>3209090</v>
      </c>
      <c r="B16" s="20" t="s">
        <v>1567</v>
      </c>
      <c r="C16" s="29">
        <f t="shared" si="0"/>
        <v>5673</v>
      </c>
      <c r="D16" s="11">
        <v>5219160000</v>
      </c>
      <c r="E16" s="11">
        <f t="shared" si="1"/>
        <v>1043832000</v>
      </c>
      <c r="F16" s="28">
        <v>200</v>
      </c>
      <c r="G16" s="28">
        <v>16</v>
      </c>
      <c r="H16" s="28">
        <v>9</v>
      </c>
      <c r="I16" s="28">
        <v>79</v>
      </c>
      <c r="J16" s="28">
        <v>2</v>
      </c>
      <c r="K16" s="28">
        <v>70</v>
      </c>
      <c r="L16" s="28">
        <v>28</v>
      </c>
      <c r="M16" s="28">
        <v>29</v>
      </c>
    </row>
    <row r="17" spans="1:13" x14ac:dyDescent="0.25">
      <c r="A17" s="4">
        <v>3209100</v>
      </c>
      <c r="B17" s="20" t="s">
        <v>1568</v>
      </c>
      <c r="C17" s="29">
        <f t="shared" si="0"/>
        <v>4315</v>
      </c>
      <c r="D17" s="11">
        <v>3969800000</v>
      </c>
      <c r="E17" s="11">
        <f t="shared" si="1"/>
        <v>793960000</v>
      </c>
      <c r="F17" s="28">
        <v>149</v>
      </c>
      <c r="G17" s="28">
        <v>14</v>
      </c>
      <c r="H17" s="28">
        <v>14</v>
      </c>
      <c r="I17" s="28">
        <v>102</v>
      </c>
      <c r="J17" s="28">
        <v>6</v>
      </c>
      <c r="K17" s="28">
        <v>84</v>
      </c>
      <c r="L17" s="28">
        <v>20</v>
      </c>
      <c r="M17" s="28">
        <v>25</v>
      </c>
    </row>
    <row r="18" spans="1:13" x14ac:dyDescent="0.25">
      <c r="A18" s="4">
        <v>3209111</v>
      </c>
      <c r="B18" s="20" t="s">
        <v>1569</v>
      </c>
      <c r="C18" s="29">
        <f t="shared" si="0"/>
        <v>4878</v>
      </c>
      <c r="D18" s="11">
        <v>4487760000</v>
      </c>
      <c r="E18" s="11">
        <f t="shared" si="1"/>
        <v>897552000</v>
      </c>
      <c r="F18" s="28">
        <v>223</v>
      </c>
      <c r="G18" s="28">
        <v>19</v>
      </c>
      <c r="H18" s="28">
        <v>13</v>
      </c>
      <c r="I18" s="28">
        <v>122</v>
      </c>
      <c r="J18" s="28">
        <v>8</v>
      </c>
      <c r="K18" s="28">
        <v>114</v>
      </c>
      <c r="L18" s="28">
        <v>32</v>
      </c>
      <c r="M18" s="28">
        <v>23</v>
      </c>
    </row>
    <row r="19" spans="1:13" x14ac:dyDescent="0.25">
      <c r="A19" s="4">
        <v>3209120</v>
      </c>
      <c r="B19" s="20" t="s">
        <v>1570</v>
      </c>
      <c r="C19" s="29">
        <f t="shared" si="0"/>
        <v>8147</v>
      </c>
      <c r="D19" s="11">
        <v>7495240000</v>
      </c>
      <c r="E19" s="11">
        <f t="shared" si="1"/>
        <v>1499048000</v>
      </c>
      <c r="F19" s="28">
        <v>400</v>
      </c>
      <c r="G19" s="28">
        <v>23</v>
      </c>
      <c r="H19" s="28">
        <v>24</v>
      </c>
      <c r="I19" s="28">
        <v>245</v>
      </c>
      <c r="J19" s="28">
        <v>19</v>
      </c>
      <c r="K19" s="28">
        <v>55</v>
      </c>
      <c r="L19" s="28">
        <v>25</v>
      </c>
      <c r="M19" s="28">
        <v>24</v>
      </c>
    </row>
    <row r="20" spans="1:13" x14ac:dyDescent="0.25">
      <c r="A20" s="4">
        <v>3209121</v>
      </c>
      <c r="B20" s="20" t="s">
        <v>1571</v>
      </c>
      <c r="C20" s="29">
        <f t="shared" si="0"/>
        <v>4080</v>
      </c>
      <c r="D20" s="11">
        <v>3753600000</v>
      </c>
      <c r="E20" s="11">
        <f t="shared" si="1"/>
        <v>750720000</v>
      </c>
      <c r="F20" s="28">
        <v>619</v>
      </c>
      <c r="G20" s="28">
        <v>18</v>
      </c>
      <c r="H20" s="28">
        <v>16</v>
      </c>
      <c r="I20" s="28">
        <v>118</v>
      </c>
      <c r="J20" s="28">
        <v>3</v>
      </c>
      <c r="K20" s="28">
        <v>91</v>
      </c>
      <c r="L20" s="28">
        <v>28</v>
      </c>
      <c r="M20" s="28">
        <v>27</v>
      </c>
    </row>
    <row r="21" spans="1:13" x14ac:dyDescent="0.25">
      <c r="A21" s="4">
        <v>3209130</v>
      </c>
      <c r="B21" s="20" t="s">
        <v>1572</v>
      </c>
      <c r="C21" s="29">
        <f t="shared" si="0"/>
        <v>5748</v>
      </c>
      <c r="D21" s="11">
        <v>5288160000</v>
      </c>
      <c r="E21" s="11">
        <f t="shared" si="1"/>
        <v>1057632000</v>
      </c>
      <c r="F21" s="28">
        <v>234</v>
      </c>
      <c r="G21" s="28">
        <v>16</v>
      </c>
      <c r="H21" s="28">
        <v>10</v>
      </c>
      <c r="I21" s="28">
        <v>101</v>
      </c>
      <c r="J21" s="28">
        <v>4</v>
      </c>
      <c r="K21" s="28">
        <v>66</v>
      </c>
      <c r="L21" s="28">
        <v>35</v>
      </c>
      <c r="M21" s="28">
        <v>23</v>
      </c>
    </row>
    <row r="22" spans="1:13" x14ac:dyDescent="0.25">
      <c r="A22" s="4">
        <v>3209140</v>
      </c>
      <c r="B22" s="20" t="s">
        <v>1573</v>
      </c>
      <c r="C22" s="29">
        <f t="shared" si="0"/>
        <v>6482</v>
      </c>
      <c r="D22" s="11">
        <v>5963440000</v>
      </c>
      <c r="E22" s="11">
        <f t="shared" si="1"/>
        <v>1192688000</v>
      </c>
      <c r="F22" s="28">
        <v>283</v>
      </c>
      <c r="G22" s="28">
        <v>23</v>
      </c>
      <c r="H22" s="28">
        <v>13</v>
      </c>
      <c r="I22" s="28">
        <v>150</v>
      </c>
      <c r="J22" s="28">
        <v>14</v>
      </c>
      <c r="K22" s="28">
        <v>74</v>
      </c>
      <c r="L22" s="28">
        <v>18</v>
      </c>
      <c r="M22" s="28">
        <v>31</v>
      </c>
    </row>
    <row r="23" spans="1:13" x14ac:dyDescent="0.25">
      <c r="A23" s="4">
        <v>3209150</v>
      </c>
      <c r="B23" s="20" t="s">
        <v>1574</v>
      </c>
      <c r="C23" s="29">
        <f t="shared" si="0"/>
        <v>5703</v>
      </c>
      <c r="D23" s="11">
        <v>5246760000</v>
      </c>
      <c r="E23" s="11">
        <f t="shared" si="1"/>
        <v>1049352000</v>
      </c>
      <c r="F23" s="28">
        <v>204</v>
      </c>
      <c r="G23" s="28">
        <v>18</v>
      </c>
      <c r="H23" s="28">
        <v>13</v>
      </c>
      <c r="I23" s="28">
        <v>109</v>
      </c>
      <c r="J23" s="28">
        <v>9</v>
      </c>
      <c r="K23" s="28">
        <v>156</v>
      </c>
      <c r="L23" s="28">
        <v>42</v>
      </c>
      <c r="M23" s="28">
        <v>28</v>
      </c>
    </row>
    <row r="24" spans="1:13" x14ac:dyDescent="0.25">
      <c r="A24" s="4">
        <v>3209162</v>
      </c>
      <c r="B24" s="20" t="s">
        <v>1575</v>
      </c>
      <c r="C24" s="29">
        <f t="shared" si="0"/>
        <v>3429</v>
      </c>
      <c r="D24" s="11">
        <v>3154680000</v>
      </c>
      <c r="E24" s="11">
        <f t="shared" si="1"/>
        <v>630936000</v>
      </c>
      <c r="F24" s="28">
        <v>179</v>
      </c>
      <c r="G24" s="28">
        <v>15</v>
      </c>
      <c r="H24" s="28">
        <v>11</v>
      </c>
      <c r="I24" s="28">
        <v>133</v>
      </c>
      <c r="J24" s="28">
        <v>9</v>
      </c>
      <c r="K24" s="28">
        <v>287</v>
      </c>
      <c r="L24" s="28">
        <v>34</v>
      </c>
      <c r="M24" s="28">
        <v>25</v>
      </c>
    </row>
    <row r="25" spans="1:13" x14ac:dyDescent="0.25">
      <c r="A25" s="4">
        <v>3209171</v>
      </c>
      <c r="B25" s="20" t="s">
        <v>1576</v>
      </c>
      <c r="C25" s="29">
        <f t="shared" si="0"/>
        <v>5031</v>
      </c>
      <c r="D25" s="11">
        <v>4628520000</v>
      </c>
      <c r="E25" s="11">
        <f t="shared" si="1"/>
        <v>925704000</v>
      </c>
      <c r="F25" s="28">
        <v>241</v>
      </c>
      <c r="G25" s="28">
        <v>17</v>
      </c>
      <c r="H25" s="28">
        <v>15</v>
      </c>
      <c r="I25" s="28">
        <v>124</v>
      </c>
      <c r="J25" s="28">
        <v>6</v>
      </c>
      <c r="K25" s="28">
        <v>89</v>
      </c>
      <c r="L25" s="28">
        <v>61</v>
      </c>
      <c r="M25" s="28">
        <v>28</v>
      </c>
    </row>
    <row r="26" spans="1:13" x14ac:dyDescent="0.25">
      <c r="A26" s="4">
        <v>3209180</v>
      </c>
      <c r="B26" s="20" t="s">
        <v>1577</v>
      </c>
      <c r="C26" s="29">
        <f t="shared" si="0"/>
        <v>5316</v>
      </c>
      <c r="D26" s="11">
        <v>4890720000</v>
      </c>
      <c r="E26" s="11">
        <f t="shared" si="1"/>
        <v>978144000</v>
      </c>
      <c r="F26" s="28">
        <v>200</v>
      </c>
      <c r="G26" s="28">
        <v>15</v>
      </c>
      <c r="H26" s="28">
        <v>4</v>
      </c>
      <c r="I26" s="28">
        <v>51</v>
      </c>
      <c r="J26" s="28">
        <v>2</v>
      </c>
      <c r="K26" s="28">
        <v>132</v>
      </c>
      <c r="L26" s="28">
        <v>51</v>
      </c>
      <c r="M26" s="28">
        <v>30</v>
      </c>
    </row>
    <row r="27" spans="1:13" x14ac:dyDescent="0.25">
      <c r="A27" s="4">
        <v>3209190</v>
      </c>
      <c r="B27" s="20" t="s">
        <v>1578</v>
      </c>
      <c r="C27" s="29">
        <f t="shared" si="0"/>
        <v>4981</v>
      </c>
      <c r="D27" s="11">
        <v>4582520000</v>
      </c>
      <c r="E27" s="11">
        <f t="shared" si="1"/>
        <v>916504000</v>
      </c>
      <c r="F27" s="28">
        <v>187</v>
      </c>
      <c r="G27" s="28">
        <v>15</v>
      </c>
      <c r="H27" s="28">
        <v>5</v>
      </c>
      <c r="I27" s="28">
        <v>79</v>
      </c>
      <c r="J27" s="28">
        <v>6</v>
      </c>
      <c r="K27" s="28">
        <v>181</v>
      </c>
      <c r="L27" s="28">
        <v>52</v>
      </c>
      <c r="M27" s="28">
        <v>12</v>
      </c>
    </row>
    <row r="28" spans="1:13" x14ac:dyDescent="0.25">
      <c r="A28" s="4">
        <v>3209200</v>
      </c>
      <c r="B28" s="20" t="s">
        <v>1579</v>
      </c>
      <c r="C28" s="29">
        <f t="shared" si="0"/>
        <v>6526</v>
      </c>
      <c r="D28" s="11">
        <v>6003920000</v>
      </c>
      <c r="E28" s="11">
        <f t="shared" si="1"/>
        <v>1200784000</v>
      </c>
      <c r="F28" s="28">
        <v>271</v>
      </c>
      <c r="G28" s="28">
        <v>23</v>
      </c>
      <c r="H28" s="28">
        <v>8</v>
      </c>
      <c r="I28" s="28">
        <v>135</v>
      </c>
      <c r="J28" s="28">
        <v>11</v>
      </c>
      <c r="K28" s="28">
        <v>132</v>
      </c>
      <c r="L28" s="28">
        <v>32</v>
      </c>
      <c r="M28" s="28">
        <v>19</v>
      </c>
    </row>
    <row r="29" spans="1:13" x14ac:dyDescent="0.25">
      <c r="A29" s="4">
        <v>3209201</v>
      </c>
      <c r="B29" s="20" t="s">
        <v>1580</v>
      </c>
      <c r="C29" s="29">
        <f t="shared" si="0"/>
        <v>3335</v>
      </c>
      <c r="D29" s="11">
        <v>3068200000</v>
      </c>
      <c r="E29" s="11">
        <f t="shared" si="1"/>
        <v>613640000</v>
      </c>
      <c r="F29" s="28">
        <v>137</v>
      </c>
      <c r="G29" s="28">
        <v>11</v>
      </c>
      <c r="H29" s="28">
        <v>3</v>
      </c>
      <c r="I29" s="28">
        <v>61</v>
      </c>
      <c r="J29" s="28">
        <v>2</v>
      </c>
      <c r="K29" s="28">
        <v>125</v>
      </c>
      <c r="L29" s="28">
        <v>36</v>
      </c>
      <c r="M29" s="28">
        <v>14</v>
      </c>
    </row>
    <row r="30" spans="1:13" x14ac:dyDescent="0.25">
      <c r="A30" s="4">
        <v>3209210</v>
      </c>
      <c r="B30" s="20" t="s">
        <v>1581</v>
      </c>
      <c r="C30" s="29">
        <f t="shared" si="0"/>
        <v>3497</v>
      </c>
      <c r="D30" s="11">
        <v>3217240000</v>
      </c>
      <c r="E30" s="11">
        <f t="shared" si="1"/>
        <v>643448000</v>
      </c>
      <c r="F30" s="28">
        <v>117</v>
      </c>
      <c r="G30" s="28">
        <v>12</v>
      </c>
      <c r="H30" s="28">
        <v>4</v>
      </c>
      <c r="I30" s="28">
        <v>55</v>
      </c>
      <c r="J30" s="28">
        <v>6</v>
      </c>
      <c r="K30" s="28">
        <v>131</v>
      </c>
      <c r="L30" s="28">
        <v>34</v>
      </c>
      <c r="M30" s="28">
        <v>9</v>
      </c>
    </row>
    <row r="31" spans="1:13" x14ac:dyDescent="0.25">
      <c r="A31" s="4">
        <v>3209220</v>
      </c>
      <c r="B31" s="20" t="s">
        <v>1582</v>
      </c>
      <c r="C31" s="29">
        <f t="shared" si="0"/>
        <v>6630</v>
      </c>
      <c r="D31" s="11">
        <v>6099600000</v>
      </c>
      <c r="E31" s="11">
        <f t="shared" si="1"/>
        <v>1219920000</v>
      </c>
      <c r="F31" s="28">
        <v>257</v>
      </c>
      <c r="G31" s="28">
        <v>16</v>
      </c>
      <c r="H31" s="28">
        <v>9</v>
      </c>
      <c r="I31" s="28">
        <v>88</v>
      </c>
      <c r="J31" s="28">
        <v>2</v>
      </c>
      <c r="K31" s="28">
        <v>99</v>
      </c>
      <c r="L31" s="28">
        <v>18</v>
      </c>
      <c r="M31" s="28">
        <v>11</v>
      </c>
    </row>
    <row r="32" spans="1:13" x14ac:dyDescent="0.25">
      <c r="A32" s="4">
        <v>3209230</v>
      </c>
      <c r="B32" s="20" t="s">
        <v>1583</v>
      </c>
      <c r="C32" s="29">
        <f t="shared" si="0"/>
        <v>5396</v>
      </c>
      <c r="D32" s="11">
        <v>4964320000</v>
      </c>
      <c r="E32" s="11">
        <f t="shared" si="1"/>
        <v>992864000</v>
      </c>
      <c r="F32" s="28">
        <v>232</v>
      </c>
      <c r="G32" s="28">
        <v>15</v>
      </c>
      <c r="H32" s="28">
        <v>10</v>
      </c>
      <c r="I32" s="28">
        <v>113</v>
      </c>
      <c r="J32" s="28">
        <v>5</v>
      </c>
      <c r="K32" s="28">
        <v>103</v>
      </c>
      <c r="L32" s="28">
        <v>29</v>
      </c>
      <c r="M32" s="28">
        <v>25</v>
      </c>
    </row>
    <row r="33" spans="1:13" x14ac:dyDescent="0.25">
      <c r="A33" s="4">
        <v>3209231</v>
      </c>
      <c r="B33" s="20" t="s">
        <v>1584</v>
      </c>
      <c r="C33" s="29">
        <f t="shared" si="0"/>
        <v>3511</v>
      </c>
      <c r="D33" s="11">
        <v>3230120000</v>
      </c>
      <c r="E33" s="11">
        <f t="shared" si="1"/>
        <v>646024000</v>
      </c>
      <c r="F33" s="28">
        <v>137</v>
      </c>
      <c r="G33" s="28">
        <v>11</v>
      </c>
      <c r="H33" s="28">
        <v>4</v>
      </c>
      <c r="I33" s="28">
        <v>61</v>
      </c>
      <c r="J33" s="28">
        <v>4</v>
      </c>
      <c r="K33" s="28">
        <v>156</v>
      </c>
      <c r="L33" s="28">
        <v>53</v>
      </c>
      <c r="M33" s="28">
        <v>20</v>
      </c>
    </row>
    <row r="34" spans="1:13" x14ac:dyDescent="0.25">
      <c r="A34" s="4">
        <v>3209041</v>
      </c>
      <c r="B34" s="20" t="s">
        <v>1585</v>
      </c>
      <c r="C34" s="29">
        <f t="shared" si="0"/>
        <v>5500</v>
      </c>
      <c r="D34" s="11">
        <v>5060000000</v>
      </c>
      <c r="E34" s="11">
        <f t="shared" si="1"/>
        <v>1012000000</v>
      </c>
      <c r="F34" s="28">
        <v>204</v>
      </c>
      <c r="G34" s="28">
        <v>16</v>
      </c>
      <c r="H34" s="28">
        <v>6</v>
      </c>
      <c r="I34" s="28">
        <v>94</v>
      </c>
      <c r="J34" s="28">
        <v>5</v>
      </c>
      <c r="K34" s="28">
        <v>109</v>
      </c>
      <c r="L34" s="28">
        <v>35</v>
      </c>
      <c r="M34" s="28">
        <v>11</v>
      </c>
    </row>
    <row r="35" spans="1:13" x14ac:dyDescent="0.25">
      <c r="A35" s="4">
        <v>3209141</v>
      </c>
      <c r="B35" s="20" t="s">
        <v>1586</v>
      </c>
      <c r="C35" s="29">
        <f t="shared" si="0"/>
        <v>5473</v>
      </c>
      <c r="D35" s="11">
        <v>5035160000</v>
      </c>
      <c r="E35" s="11">
        <f t="shared" si="1"/>
        <v>1007032000</v>
      </c>
      <c r="F35" s="28">
        <v>313</v>
      </c>
      <c r="G35" s="28">
        <v>17</v>
      </c>
      <c r="H35" s="28">
        <v>7</v>
      </c>
      <c r="I35" s="28">
        <v>124</v>
      </c>
      <c r="J35" s="28">
        <v>5</v>
      </c>
      <c r="K35" s="28">
        <v>124</v>
      </c>
      <c r="L35" s="28">
        <v>20</v>
      </c>
      <c r="M35" s="28">
        <v>8</v>
      </c>
    </row>
    <row r="36" spans="1:13" x14ac:dyDescent="0.25">
      <c r="A36" s="4">
        <v>3209011</v>
      </c>
      <c r="B36" s="20" t="s">
        <v>1587</v>
      </c>
      <c r="C36" s="29">
        <f t="shared" si="0"/>
        <v>2135</v>
      </c>
      <c r="D36" s="11">
        <v>1964200000</v>
      </c>
      <c r="E36" s="11">
        <f t="shared" si="1"/>
        <v>392840000</v>
      </c>
      <c r="F36" s="28">
        <v>82</v>
      </c>
      <c r="G36" s="28">
        <v>12</v>
      </c>
      <c r="H36" s="28">
        <v>2</v>
      </c>
      <c r="I36" s="28">
        <v>42</v>
      </c>
      <c r="J36" s="28">
        <v>1</v>
      </c>
      <c r="K36" s="28">
        <v>111</v>
      </c>
      <c r="L36" s="28">
        <v>33</v>
      </c>
      <c r="M36" s="28">
        <v>12</v>
      </c>
    </row>
    <row r="37" spans="1:13" x14ac:dyDescent="0.25">
      <c r="A37" s="4">
        <v>3209021</v>
      </c>
      <c r="B37" s="20" t="s">
        <v>1588</v>
      </c>
      <c r="C37" s="29">
        <f t="shared" si="0"/>
        <v>3203</v>
      </c>
      <c r="D37" s="11">
        <v>2946760000</v>
      </c>
      <c r="E37" s="11">
        <f t="shared" si="1"/>
        <v>589352000</v>
      </c>
      <c r="F37" s="28">
        <v>122</v>
      </c>
      <c r="G37" s="28">
        <v>7</v>
      </c>
      <c r="H37" s="28">
        <v>1</v>
      </c>
      <c r="I37" s="28">
        <v>44</v>
      </c>
      <c r="J37" s="28">
        <v>3</v>
      </c>
      <c r="K37" s="28">
        <v>95</v>
      </c>
      <c r="L37" s="28">
        <v>19</v>
      </c>
      <c r="M37" s="28">
        <v>25</v>
      </c>
    </row>
    <row r="38" spans="1:13" x14ac:dyDescent="0.25">
      <c r="A38" s="4">
        <v>3209051</v>
      </c>
      <c r="B38" s="20" t="s">
        <v>1589</v>
      </c>
      <c r="C38" s="29">
        <f t="shared" si="0"/>
        <v>2314</v>
      </c>
      <c r="D38" s="11">
        <v>2128880000</v>
      </c>
      <c r="E38" s="11">
        <f t="shared" si="1"/>
        <v>425776000</v>
      </c>
      <c r="F38" s="28">
        <v>95</v>
      </c>
      <c r="G38" s="28">
        <v>8</v>
      </c>
      <c r="H38" s="28">
        <v>0</v>
      </c>
      <c r="I38" s="28">
        <v>36</v>
      </c>
      <c r="J38" s="28">
        <v>0</v>
      </c>
      <c r="K38" s="28">
        <v>170</v>
      </c>
      <c r="L38" s="28">
        <v>43</v>
      </c>
      <c r="M38" s="28">
        <v>25</v>
      </c>
    </row>
    <row r="39" spans="1:13" x14ac:dyDescent="0.25">
      <c r="A39" s="4">
        <v>3209161</v>
      </c>
      <c r="B39" s="20" t="s">
        <v>1590</v>
      </c>
      <c r="C39" s="29">
        <f t="shared" si="0"/>
        <v>3911</v>
      </c>
      <c r="D39" s="11">
        <v>3598120000</v>
      </c>
      <c r="E39" s="11">
        <f t="shared" si="1"/>
        <v>719624000</v>
      </c>
      <c r="F39" s="28">
        <v>145</v>
      </c>
      <c r="G39" s="28">
        <v>6</v>
      </c>
      <c r="H39" s="28">
        <v>6</v>
      </c>
      <c r="I39" s="28">
        <v>76</v>
      </c>
      <c r="J39" s="28">
        <v>3</v>
      </c>
      <c r="K39" s="28">
        <v>72</v>
      </c>
      <c r="L39" s="28">
        <v>23</v>
      </c>
      <c r="M39" s="28">
        <v>13</v>
      </c>
    </row>
    <row r="40" spans="1:13" x14ac:dyDescent="0.25">
      <c r="A40" s="4">
        <v>3209151</v>
      </c>
      <c r="B40" s="20" t="s">
        <v>1591</v>
      </c>
      <c r="C40" s="29">
        <f t="shared" si="0"/>
        <v>5278</v>
      </c>
      <c r="D40" s="11">
        <v>4855760000</v>
      </c>
      <c r="E40" s="11">
        <f t="shared" si="1"/>
        <v>971152000</v>
      </c>
      <c r="F40" s="28">
        <v>199</v>
      </c>
      <c r="G40" s="28">
        <v>16</v>
      </c>
      <c r="H40" s="28">
        <v>9</v>
      </c>
      <c r="I40" s="28">
        <v>108</v>
      </c>
      <c r="J40" s="28">
        <v>7</v>
      </c>
      <c r="K40" s="28">
        <v>81</v>
      </c>
      <c r="L40" s="28">
        <v>15</v>
      </c>
      <c r="M40" s="28">
        <v>22</v>
      </c>
    </row>
    <row r="41" spans="1:13" x14ac:dyDescent="0.25">
      <c r="A41" s="4">
        <v>3209211</v>
      </c>
      <c r="B41" s="20" t="s">
        <v>1592</v>
      </c>
      <c r="C41" s="29">
        <f t="shared" si="0"/>
        <v>3882</v>
      </c>
      <c r="D41" s="11">
        <v>3571440000</v>
      </c>
      <c r="E41" s="11">
        <f t="shared" si="1"/>
        <v>714288000</v>
      </c>
      <c r="F41" s="28">
        <v>156</v>
      </c>
      <c r="G41" s="28">
        <v>11</v>
      </c>
      <c r="H41" s="28">
        <v>5</v>
      </c>
      <c r="I41" s="28">
        <v>64</v>
      </c>
      <c r="J41" s="28">
        <v>1</v>
      </c>
      <c r="K41" s="28">
        <v>74</v>
      </c>
      <c r="L41" s="28">
        <v>29</v>
      </c>
      <c r="M41" s="28">
        <v>25</v>
      </c>
    </row>
    <row r="42" spans="1:13" x14ac:dyDescent="0.25">
      <c r="A42" s="4">
        <v>3209101</v>
      </c>
      <c r="B42" s="20" t="s">
        <v>1593</v>
      </c>
      <c r="C42" s="29">
        <f t="shared" si="0"/>
        <v>5708</v>
      </c>
      <c r="D42" s="11">
        <v>5251360000</v>
      </c>
      <c r="E42" s="11">
        <f t="shared" si="1"/>
        <v>1050272000</v>
      </c>
      <c r="F42" s="28">
        <v>183</v>
      </c>
      <c r="G42" s="28">
        <v>14</v>
      </c>
      <c r="H42" s="28">
        <v>9</v>
      </c>
      <c r="I42" s="28">
        <v>83</v>
      </c>
      <c r="J42" s="28">
        <v>2</v>
      </c>
      <c r="K42" s="28">
        <v>115</v>
      </c>
      <c r="L42" s="28">
        <v>55</v>
      </c>
      <c r="M42" s="28">
        <v>41</v>
      </c>
    </row>
    <row r="43" spans="1:13" x14ac:dyDescent="0.25">
      <c r="A43" s="4">
        <v>3209181</v>
      </c>
      <c r="B43" s="20" t="s">
        <v>1594</v>
      </c>
      <c r="C43" s="29">
        <f t="shared" si="0"/>
        <v>4027</v>
      </c>
      <c r="D43" s="11">
        <v>3704840000</v>
      </c>
      <c r="E43" s="11">
        <f t="shared" si="1"/>
        <v>740968000</v>
      </c>
      <c r="F43" s="28">
        <v>534</v>
      </c>
      <c r="G43" s="28">
        <v>13</v>
      </c>
      <c r="H43" s="28">
        <v>8</v>
      </c>
      <c r="I43" s="28">
        <v>83</v>
      </c>
      <c r="J43" s="28">
        <v>0</v>
      </c>
      <c r="K43" s="28">
        <v>134</v>
      </c>
      <c r="L43" s="28">
        <v>43</v>
      </c>
      <c r="M43" s="28">
        <v>26</v>
      </c>
    </row>
    <row r="44" spans="1:13" x14ac:dyDescent="0.25">
      <c r="A44" s="4">
        <v>3209191</v>
      </c>
      <c r="B44" s="20" t="s">
        <v>1595</v>
      </c>
      <c r="C44" s="29">
        <f t="shared" si="0"/>
        <v>3243</v>
      </c>
      <c r="D44" s="11">
        <v>2983560000</v>
      </c>
      <c r="E44" s="11">
        <f t="shared" si="1"/>
        <v>596712000</v>
      </c>
      <c r="F44" s="28">
        <v>153</v>
      </c>
      <c r="G44" s="28">
        <v>17</v>
      </c>
      <c r="H44" s="28">
        <v>5</v>
      </c>
      <c r="I44" s="28">
        <v>99</v>
      </c>
      <c r="J44" s="28">
        <v>5</v>
      </c>
      <c r="K44" s="28">
        <v>65</v>
      </c>
      <c r="L44" s="28">
        <v>30</v>
      </c>
      <c r="M44" s="28">
        <v>14</v>
      </c>
    </row>
    <row r="45" spans="1:13" x14ac:dyDescent="0.25">
      <c r="F45" s="27"/>
    </row>
    <row r="46" spans="1:13" x14ac:dyDescent="0.25">
      <c r="F46" s="27"/>
    </row>
    <row r="47" spans="1:13" x14ac:dyDescent="0.25">
      <c r="F47" s="27"/>
    </row>
    <row r="48" spans="1:13" x14ac:dyDescent="0.25">
      <c r="F48" s="27"/>
    </row>
    <row r="49" spans="6:6" x14ac:dyDescent="0.25">
      <c r="F49" s="27"/>
    </row>
    <row r="50" spans="6:6" x14ac:dyDescent="0.25">
      <c r="F50" s="27"/>
    </row>
    <row r="51" spans="6:6" x14ac:dyDescent="0.25">
      <c r="F51" s="27"/>
    </row>
    <row r="52" spans="6:6" x14ac:dyDescent="0.25">
      <c r="F52" s="27"/>
    </row>
    <row r="53" spans="6:6" x14ac:dyDescent="0.25">
      <c r="F53" s="27"/>
    </row>
    <row r="54" spans="6:6" x14ac:dyDescent="0.25">
      <c r="F54" s="27"/>
    </row>
  </sheetData>
  <mergeCells count="13">
    <mergeCell ref="K3:K4"/>
    <mergeCell ref="L3:L4"/>
    <mergeCell ref="A3:A4"/>
    <mergeCell ref="B3:B4"/>
    <mergeCell ref="M3:M4"/>
    <mergeCell ref="C3:C4"/>
    <mergeCell ref="G3:G4"/>
    <mergeCell ref="E3:E4"/>
    <mergeCell ref="H3:H4"/>
    <mergeCell ref="F3:F4"/>
    <mergeCell ref="D3:D4"/>
    <mergeCell ref="I3:I4"/>
    <mergeCell ref="J3:J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D15"/>
  <sheetViews>
    <sheetView workbookViewId="0"/>
  </sheetViews>
  <sheetFormatPr defaultRowHeight="15" x14ac:dyDescent="0.25"/>
  <cols>
    <col min="2" max="2" width="18.5703125" customWidth="1"/>
    <col min="4" max="4" width="66.5703125" customWidth="1"/>
  </cols>
  <sheetData>
    <row r="3" spans="1:4" x14ac:dyDescent="0.25">
      <c r="A3" s="43" t="s">
        <v>1</v>
      </c>
      <c r="B3" s="43" t="s">
        <v>1598</v>
      </c>
      <c r="C3" s="43" t="s">
        <v>1599</v>
      </c>
      <c r="D3" s="43" t="s">
        <v>1600</v>
      </c>
    </row>
    <row r="4" spans="1:4" x14ac:dyDescent="0.25">
      <c r="A4" s="26">
        <v>1</v>
      </c>
      <c r="B4" s="45" t="s">
        <v>1601</v>
      </c>
      <c r="C4" s="45" t="s">
        <v>1602</v>
      </c>
      <c r="D4" s="20" t="s">
        <v>1603</v>
      </c>
    </row>
    <row r="5" spans="1:4" x14ac:dyDescent="0.25">
      <c r="A5" s="26">
        <v>2</v>
      </c>
      <c r="B5" s="45" t="s">
        <v>1596</v>
      </c>
      <c r="C5" s="45" t="s">
        <v>1604</v>
      </c>
      <c r="D5" s="20" t="s">
        <v>1603</v>
      </c>
    </row>
    <row r="6" spans="1:4" x14ac:dyDescent="0.25">
      <c r="A6" s="26">
        <v>3</v>
      </c>
      <c r="B6" s="45" t="s">
        <v>1605</v>
      </c>
      <c r="C6" s="45" t="s">
        <v>1604</v>
      </c>
      <c r="D6" s="20" t="s">
        <v>1606</v>
      </c>
    </row>
    <row r="7" spans="1:4" x14ac:dyDescent="0.25">
      <c r="A7" s="26">
        <v>4</v>
      </c>
      <c r="B7" s="45" t="s">
        <v>1597</v>
      </c>
      <c r="C7" s="45" t="s">
        <v>1602</v>
      </c>
      <c r="D7" s="20" t="s">
        <v>1607</v>
      </c>
    </row>
    <row r="8" spans="1:4" x14ac:dyDescent="0.25">
      <c r="A8" s="26">
        <v>5</v>
      </c>
      <c r="B8" s="45" t="s">
        <v>1539</v>
      </c>
      <c r="C8" s="45" t="s">
        <v>1604</v>
      </c>
      <c r="D8" s="20" t="s">
        <v>1608</v>
      </c>
    </row>
    <row r="9" spans="1:4" x14ac:dyDescent="0.25">
      <c r="A9" s="26">
        <v>6</v>
      </c>
      <c r="B9" s="45" t="s">
        <v>1609</v>
      </c>
      <c r="C9" s="45" t="s">
        <v>1604</v>
      </c>
      <c r="D9" s="20" t="s">
        <v>1608</v>
      </c>
    </row>
    <row r="10" spans="1:4" x14ac:dyDescent="0.25">
      <c r="A10" s="26">
        <v>7</v>
      </c>
      <c r="B10" s="45" t="s">
        <v>1542</v>
      </c>
      <c r="C10" s="45" t="s">
        <v>1604</v>
      </c>
      <c r="D10" s="20" t="s">
        <v>1608</v>
      </c>
    </row>
    <row r="11" spans="1:4" x14ac:dyDescent="0.25">
      <c r="A11" s="26">
        <v>8</v>
      </c>
      <c r="B11" s="45" t="s">
        <v>1543</v>
      </c>
      <c r="C11" s="45" t="s">
        <v>1604</v>
      </c>
      <c r="D11" s="20" t="s">
        <v>1608</v>
      </c>
    </row>
    <row r="12" spans="1:4" x14ac:dyDescent="0.25">
      <c r="A12" s="26">
        <v>9</v>
      </c>
      <c r="B12" s="45" t="s">
        <v>1547</v>
      </c>
      <c r="C12" s="45" t="s">
        <v>1604</v>
      </c>
      <c r="D12" s="20" t="s">
        <v>1610</v>
      </c>
    </row>
    <row r="13" spans="1:4" x14ac:dyDescent="0.25">
      <c r="A13" s="26">
        <v>10</v>
      </c>
      <c r="B13" s="45" t="s">
        <v>1611</v>
      </c>
      <c r="C13" s="45" t="s">
        <v>1602</v>
      </c>
      <c r="D13" s="20" t="s">
        <v>1612</v>
      </c>
    </row>
    <row r="14" spans="1:4" x14ac:dyDescent="0.25">
      <c r="A14" s="26">
        <v>11</v>
      </c>
      <c r="B14" s="45" t="s">
        <v>1613</v>
      </c>
      <c r="C14" s="45" t="s">
        <v>1602</v>
      </c>
      <c r="D14" s="42" t="s">
        <v>1612</v>
      </c>
    </row>
    <row r="15" spans="1:4" x14ac:dyDescent="0.25">
      <c r="D15" s="4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C14"/>
  <sheetViews>
    <sheetView workbookViewId="0"/>
  </sheetViews>
  <sheetFormatPr defaultRowHeight="15" x14ac:dyDescent="0.25"/>
  <cols>
    <col min="1" max="1" width="18.42578125" customWidth="1"/>
    <col min="2" max="3" width="17.85546875" customWidth="1"/>
  </cols>
  <sheetData>
    <row r="3" spans="1:3" x14ac:dyDescent="0.25">
      <c r="A3" s="37" t="s">
        <v>1598</v>
      </c>
      <c r="B3" s="37" t="s">
        <v>1614</v>
      </c>
      <c r="C3" s="37" t="s">
        <v>1615</v>
      </c>
    </row>
    <row r="4" spans="1:3" ht="15.75" customHeight="1" x14ac:dyDescent="0.25">
      <c r="A4" s="36" t="s">
        <v>45</v>
      </c>
      <c r="B4" s="38">
        <v>8147</v>
      </c>
      <c r="C4" s="38">
        <v>2135</v>
      </c>
    </row>
    <row r="5" spans="1:3" ht="15.75" customHeight="1" x14ac:dyDescent="0.25">
      <c r="A5" s="36" t="s">
        <v>1596</v>
      </c>
      <c r="B5" s="40">
        <v>7495240000</v>
      </c>
      <c r="C5" s="40">
        <v>1964200000</v>
      </c>
    </row>
    <row r="6" spans="1:3" ht="15.75" customHeight="1" x14ac:dyDescent="0.25">
      <c r="A6" s="36" t="s">
        <v>46</v>
      </c>
      <c r="B6" s="40">
        <v>1499048000</v>
      </c>
      <c r="C6" s="40">
        <v>392840000</v>
      </c>
    </row>
    <row r="7" spans="1:3" ht="15.75" customHeight="1" x14ac:dyDescent="0.25">
      <c r="A7" s="36" t="s">
        <v>1597</v>
      </c>
      <c r="B7" s="39">
        <v>619</v>
      </c>
      <c r="C7" s="39">
        <v>82</v>
      </c>
    </row>
    <row r="8" spans="1:3" ht="15.75" customHeight="1" x14ac:dyDescent="0.25">
      <c r="A8" s="36" t="s">
        <v>1539</v>
      </c>
      <c r="B8" s="39">
        <v>23</v>
      </c>
      <c r="C8" s="39">
        <v>6</v>
      </c>
    </row>
    <row r="9" spans="1:3" ht="15.75" customHeight="1" x14ac:dyDescent="0.25">
      <c r="A9" s="36" t="s">
        <v>1541</v>
      </c>
      <c r="B9" s="39">
        <v>24</v>
      </c>
      <c r="C9" s="39">
        <v>0</v>
      </c>
    </row>
    <row r="10" spans="1:3" ht="15.75" customHeight="1" x14ac:dyDescent="0.25">
      <c r="A10" s="36" t="s">
        <v>1542</v>
      </c>
      <c r="B10" s="39">
        <v>245</v>
      </c>
      <c r="C10" s="39">
        <v>36</v>
      </c>
    </row>
    <row r="11" spans="1:3" ht="15.75" customHeight="1" x14ac:dyDescent="0.25">
      <c r="A11" s="36" t="s">
        <v>1543</v>
      </c>
      <c r="B11" s="39">
        <v>19</v>
      </c>
      <c r="C11" s="39">
        <v>0</v>
      </c>
    </row>
    <row r="12" spans="1:3" ht="15.75" customHeight="1" x14ac:dyDescent="0.25">
      <c r="A12" s="36" t="s">
        <v>1547</v>
      </c>
      <c r="B12" s="39">
        <v>287</v>
      </c>
      <c r="C12" s="39">
        <v>49</v>
      </c>
    </row>
    <row r="13" spans="1:3" ht="15.75" customHeight="1" x14ac:dyDescent="0.25">
      <c r="A13" s="36" t="s">
        <v>1549</v>
      </c>
      <c r="B13" s="39">
        <v>61</v>
      </c>
      <c r="C13" s="39">
        <v>14</v>
      </c>
    </row>
    <row r="14" spans="1:3" ht="15.75" customHeight="1" x14ac:dyDescent="0.25">
      <c r="A14" s="36" t="s">
        <v>1550</v>
      </c>
      <c r="B14" s="39">
        <v>48</v>
      </c>
      <c r="C14" s="39">
        <v>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44"/>
  <sheetViews>
    <sheetView workbookViewId="0">
      <selection sqref="A1:L2"/>
    </sheetView>
  </sheetViews>
  <sheetFormatPr defaultRowHeight="15" x14ac:dyDescent="0.25"/>
  <cols>
    <col min="1" max="1" width="18.5703125" customWidth="1"/>
    <col min="2" max="2" width="14.140625" customWidth="1"/>
    <col min="3" max="3" width="12" customWidth="1"/>
    <col min="4" max="4" width="16" customWidth="1"/>
    <col min="5" max="5" width="11.85546875" customWidth="1"/>
    <col min="6" max="6" width="14.85546875" customWidth="1"/>
    <col min="7" max="7" width="14.7109375" customWidth="1"/>
    <col min="8" max="8" width="12.5703125" customWidth="1"/>
    <col min="9" max="9" width="12.85546875" customWidth="1"/>
    <col min="10" max="10" width="11" customWidth="1"/>
    <col min="11" max="11" width="15.85546875" customWidth="1"/>
    <col min="12" max="12" width="14" customWidth="1"/>
  </cols>
  <sheetData>
    <row r="1" spans="1:12" x14ac:dyDescent="0.25">
      <c r="A1" s="104" t="s">
        <v>1616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</row>
    <row r="2" spans="1:12" x14ac:dyDescent="0.25">
      <c r="A2" s="105"/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</row>
    <row r="3" spans="1:12" x14ac:dyDescent="0.25">
      <c r="A3" s="99" t="s">
        <v>1534</v>
      </c>
      <c r="B3" s="99" t="s">
        <v>45</v>
      </c>
      <c r="C3" s="99" t="s">
        <v>1596</v>
      </c>
      <c r="D3" s="99" t="s">
        <v>46</v>
      </c>
      <c r="E3" s="99" t="s">
        <v>1597</v>
      </c>
      <c r="F3" s="99" t="s">
        <v>1539</v>
      </c>
      <c r="G3" s="99" t="s">
        <v>1541</v>
      </c>
      <c r="H3" s="99" t="s">
        <v>1542</v>
      </c>
      <c r="I3" s="99" t="s">
        <v>1543</v>
      </c>
      <c r="J3" s="99" t="s">
        <v>1547</v>
      </c>
      <c r="K3" s="99" t="s">
        <v>1549</v>
      </c>
      <c r="L3" s="99" t="s">
        <v>1550</v>
      </c>
    </row>
    <row r="4" spans="1:12" x14ac:dyDescent="0.25">
      <c r="A4" s="98"/>
      <c r="B4" s="98"/>
      <c r="C4" s="98"/>
      <c r="D4" s="98"/>
      <c r="E4" s="98"/>
      <c r="F4" s="98"/>
      <c r="G4" s="98"/>
      <c r="H4" s="98"/>
      <c r="I4" s="98"/>
      <c r="J4" s="98"/>
      <c r="K4" s="98"/>
      <c r="L4" s="98"/>
    </row>
    <row r="5" spans="1:12" x14ac:dyDescent="0.25">
      <c r="A5" s="44" t="s">
        <v>1555</v>
      </c>
      <c r="B5" s="44">
        <v>0.46339999999999998</v>
      </c>
      <c r="C5" s="44">
        <v>0.53659999999999997</v>
      </c>
      <c r="D5" s="44">
        <v>0.53659999999999997</v>
      </c>
      <c r="E5" s="44">
        <v>0.17879999999999999</v>
      </c>
      <c r="F5" s="44">
        <v>0.76470000000000005</v>
      </c>
      <c r="G5" s="44">
        <v>0.91669999999999996</v>
      </c>
      <c r="H5" s="44">
        <v>0.85650000000000004</v>
      </c>
      <c r="I5" s="44">
        <v>0.89470000000000005</v>
      </c>
      <c r="J5" s="44">
        <v>0.89500000000000002</v>
      </c>
      <c r="K5" s="44">
        <v>0.63829999999999998</v>
      </c>
      <c r="L5" s="44">
        <v>1</v>
      </c>
    </row>
    <row r="6" spans="1:12" x14ac:dyDescent="0.25">
      <c r="A6" s="44" t="s">
        <v>1557</v>
      </c>
      <c r="B6" s="44">
        <v>0.30759999999999998</v>
      </c>
      <c r="C6" s="44">
        <v>0.69240000000000002</v>
      </c>
      <c r="D6" s="44">
        <v>0.69240000000000002</v>
      </c>
      <c r="E6" s="44">
        <v>0.15640000000000001</v>
      </c>
      <c r="F6" s="44">
        <v>0.70589999999999997</v>
      </c>
      <c r="G6" s="44">
        <v>0.79169999999999996</v>
      </c>
      <c r="H6" s="44">
        <v>0.70330000000000004</v>
      </c>
      <c r="I6" s="44">
        <v>0.84209999999999996</v>
      </c>
      <c r="J6" s="44">
        <v>1</v>
      </c>
      <c r="K6" s="44">
        <v>0.10639999999999999</v>
      </c>
      <c r="L6" s="44">
        <v>0.13639999999999999</v>
      </c>
    </row>
    <row r="7" spans="1:12" x14ac:dyDescent="0.25">
      <c r="A7" s="44" t="s">
        <v>1558</v>
      </c>
      <c r="B7" s="44">
        <v>0.28560000000000002</v>
      </c>
      <c r="C7" s="44">
        <v>0.71440000000000003</v>
      </c>
      <c r="D7" s="44">
        <v>0.71440000000000003</v>
      </c>
      <c r="E7" s="44">
        <v>0.11550000000000001</v>
      </c>
      <c r="F7" s="44">
        <v>0.70589999999999997</v>
      </c>
      <c r="G7" s="44">
        <v>0.95830000000000004</v>
      </c>
      <c r="H7" s="44">
        <v>0.87080000000000002</v>
      </c>
      <c r="I7" s="44">
        <v>0.78949999999999998</v>
      </c>
      <c r="J7" s="44">
        <v>0.77729999999999999</v>
      </c>
      <c r="K7" s="44">
        <v>0.34039999999999998</v>
      </c>
      <c r="L7" s="44">
        <v>0.2273</v>
      </c>
    </row>
    <row r="8" spans="1:12" x14ac:dyDescent="0.25">
      <c r="A8" s="44" t="s">
        <v>1559</v>
      </c>
      <c r="B8" s="44">
        <v>0.4153</v>
      </c>
      <c r="C8" s="44">
        <v>0.5847</v>
      </c>
      <c r="D8" s="44">
        <v>0.5847</v>
      </c>
      <c r="E8" s="44">
        <v>0.5363</v>
      </c>
      <c r="F8" s="44">
        <v>0.70589999999999997</v>
      </c>
      <c r="G8" s="44">
        <v>0.83330000000000004</v>
      </c>
      <c r="H8" s="44">
        <v>0.78949999999999998</v>
      </c>
      <c r="I8" s="44">
        <v>0.84209999999999996</v>
      </c>
      <c r="J8" s="44">
        <v>0.94120000000000004</v>
      </c>
      <c r="K8" s="44">
        <v>0.27660000000000001</v>
      </c>
      <c r="L8" s="44">
        <v>0.20449999999999999</v>
      </c>
    </row>
    <row r="9" spans="1:12" x14ac:dyDescent="0.25">
      <c r="A9" s="44" t="s">
        <v>1560</v>
      </c>
      <c r="B9" s="44">
        <v>0.75570000000000004</v>
      </c>
      <c r="C9" s="44">
        <v>0.24429999999999999</v>
      </c>
      <c r="D9" s="44">
        <v>0.24429999999999999</v>
      </c>
      <c r="E9" s="44">
        <v>0.27750000000000002</v>
      </c>
      <c r="F9" s="44">
        <v>0.47060000000000002</v>
      </c>
      <c r="G9" s="44">
        <v>0.79169999999999996</v>
      </c>
      <c r="H9" s="44">
        <v>0.6411</v>
      </c>
      <c r="I9" s="44">
        <v>0.57889999999999997</v>
      </c>
      <c r="J9" s="44">
        <v>0.83189999999999997</v>
      </c>
      <c r="K9" s="44">
        <v>0.44679999999999997</v>
      </c>
      <c r="L9" s="44">
        <v>2.2700000000000001E-2</v>
      </c>
    </row>
    <row r="10" spans="1:12" x14ac:dyDescent="0.25">
      <c r="A10" s="44" t="s">
        <v>1561</v>
      </c>
      <c r="B10" s="44">
        <v>0.17730000000000001</v>
      </c>
      <c r="C10" s="44">
        <v>0.82269999999999999</v>
      </c>
      <c r="D10" s="44">
        <v>0.82269999999999999</v>
      </c>
      <c r="E10" s="44">
        <v>0.11550000000000001</v>
      </c>
      <c r="F10" s="44">
        <v>0.64710000000000001</v>
      </c>
      <c r="G10" s="44">
        <v>0.91669999999999996</v>
      </c>
      <c r="H10" s="44">
        <v>0.82299999999999995</v>
      </c>
      <c r="I10" s="44">
        <v>0.89470000000000005</v>
      </c>
      <c r="J10" s="44">
        <v>0.77310000000000001</v>
      </c>
      <c r="K10" s="44">
        <v>0.46810000000000002</v>
      </c>
      <c r="L10" s="44">
        <v>9.0899999999999995E-2</v>
      </c>
    </row>
    <row r="11" spans="1:12" x14ac:dyDescent="0.25">
      <c r="A11" s="44" t="s">
        <v>1562</v>
      </c>
      <c r="B11" s="44">
        <v>0.51900000000000002</v>
      </c>
      <c r="C11" s="44">
        <v>0.48099999999999998</v>
      </c>
      <c r="D11" s="44">
        <v>0.48099999999999998</v>
      </c>
      <c r="E11" s="44">
        <v>0.21229999999999999</v>
      </c>
      <c r="F11" s="44">
        <v>0.35289999999999999</v>
      </c>
      <c r="G11" s="44">
        <v>0.625</v>
      </c>
      <c r="H11" s="44">
        <v>0.622</v>
      </c>
      <c r="I11" s="44">
        <v>0.73680000000000001</v>
      </c>
      <c r="J11" s="44">
        <v>0.4748</v>
      </c>
      <c r="K11" s="44">
        <v>0.51060000000000005</v>
      </c>
      <c r="L11" s="44">
        <v>0.25</v>
      </c>
    </row>
    <row r="12" spans="1:12" x14ac:dyDescent="0.25">
      <c r="A12" s="44" t="s">
        <v>1563</v>
      </c>
      <c r="B12" s="44">
        <v>0.1618</v>
      </c>
      <c r="C12" s="44">
        <v>0.83819999999999995</v>
      </c>
      <c r="D12" s="44">
        <v>0.83819999999999995</v>
      </c>
      <c r="E12" s="44">
        <v>8.3799999999999999E-2</v>
      </c>
      <c r="F12" s="44">
        <v>0.70589999999999997</v>
      </c>
      <c r="G12" s="44">
        <v>1</v>
      </c>
      <c r="H12" s="44">
        <v>0.93300000000000005</v>
      </c>
      <c r="I12" s="44">
        <v>0.78949999999999998</v>
      </c>
      <c r="J12" s="44">
        <v>0.57979999999999998</v>
      </c>
      <c r="K12" s="44">
        <v>0.23400000000000001</v>
      </c>
      <c r="L12" s="44">
        <v>0.13639999999999999</v>
      </c>
    </row>
    <row r="13" spans="1:12" x14ac:dyDescent="0.25">
      <c r="A13" s="44" t="s">
        <v>1564</v>
      </c>
      <c r="B13" s="44">
        <v>0.2944</v>
      </c>
      <c r="C13" s="44">
        <v>0.7056</v>
      </c>
      <c r="D13" s="44">
        <v>0.7056</v>
      </c>
      <c r="E13" s="44">
        <v>0.14149999999999999</v>
      </c>
      <c r="F13" s="44">
        <v>0.47060000000000002</v>
      </c>
      <c r="G13" s="44">
        <v>0.66669999999999996</v>
      </c>
      <c r="H13" s="44">
        <v>0.71289999999999998</v>
      </c>
      <c r="I13" s="44">
        <v>0.68420000000000003</v>
      </c>
      <c r="J13" s="44">
        <v>0.77310000000000001</v>
      </c>
      <c r="K13" s="44">
        <v>0.34039999999999998</v>
      </c>
      <c r="L13" s="44">
        <v>0</v>
      </c>
    </row>
    <row r="14" spans="1:12" x14ac:dyDescent="0.25">
      <c r="A14" s="44" t="s">
        <v>1565</v>
      </c>
      <c r="B14" s="44">
        <v>0.41549999999999998</v>
      </c>
      <c r="C14" s="44">
        <v>0.58450000000000002</v>
      </c>
      <c r="D14" s="44">
        <v>0.58450000000000002</v>
      </c>
      <c r="E14" s="44">
        <v>0.19370000000000001</v>
      </c>
      <c r="F14" s="44">
        <v>0.17649999999999999</v>
      </c>
      <c r="G14" s="44">
        <v>0.83330000000000004</v>
      </c>
      <c r="H14" s="44">
        <v>0.76559999999999995</v>
      </c>
      <c r="I14" s="44">
        <v>0.84209999999999996</v>
      </c>
      <c r="J14" s="44">
        <v>0.93279999999999996</v>
      </c>
      <c r="K14" s="44">
        <v>0</v>
      </c>
      <c r="L14" s="44">
        <v>6.8199999999999997E-2</v>
      </c>
    </row>
    <row r="15" spans="1:12" x14ac:dyDescent="0.25">
      <c r="A15" s="44" t="s">
        <v>1566</v>
      </c>
      <c r="B15" s="44">
        <v>0.16120000000000001</v>
      </c>
      <c r="C15" s="44">
        <v>0.83879999999999999</v>
      </c>
      <c r="D15" s="44">
        <v>0.83879999999999999</v>
      </c>
      <c r="E15" s="44">
        <v>4.8399999999999999E-2</v>
      </c>
      <c r="F15" s="44">
        <v>0.82350000000000001</v>
      </c>
      <c r="G15" s="44">
        <v>0.95830000000000004</v>
      </c>
      <c r="H15" s="44">
        <v>0.98089999999999999</v>
      </c>
      <c r="I15" s="44">
        <v>0.89470000000000005</v>
      </c>
      <c r="J15" s="44">
        <v>0.77729999999999999</v>
      </c>
      <c r="K15" s="44">
        <v>0.23400000000000001</v>
      </c>
      <c r="L15" s="44">
        <v>0.93179999999999996</v>
      </c>
    </row>
    <row r="16" spans="1:12" x14ac:dyDescent="0.25">
      <c r="A16" s="44" t="s">
        <v>1567</v>
      </c>
      <c r="B16" s="44">
        <v>0.58850000000000002</v>
      </c>
      <c r="C16" s="44">
        <v>0.41149999999999998</v>
      </c>
      <c r="D16" s="44">
        <v>0.41149999999999998</v>
      </c>
      <c r="E16" s="44">
        <v>0.21970000000000001</v>
      </c>
      <c r="F16" s="44">
        <v>0.4118</v>
      </c>
      <c r="G16" s="44">
        <v>0.625</v>
      </c>
      <c r="H16" s="44">
        <v>0.79430000000000001</v>
      </c>
      <c r="I16" s="44">
        <v>0.89470000000000005</v>
      </c>
      <c r="J16" s="44">
        <v>0.91180000000000005</v>
      </c>
      <c r="K16" s="44">
        <v>0.2979</v>
      </c>
      <c r="L16" s="44">
        <v>0.56820000000000004</v>
      </c>
    </row>
    <row r="17" spans="1:12" x14ac:dyDescent="0.25">
      <c r="A17" s="44" t="s">
        <v>1568</v>
      </c>
      <c r="B17" s="44">
        <v>0.36259999999999998</v>
      </c>
      <c r="C17" s="44">
        <v>0.63739999999999997</v>
      </c>
      <c r="D17" s="44">
        <v>0.63739999999999997</v>
      </c>
      <c r="E17" s="44">
        <v>0.12479999999999999</v>
      </c>
      <c r="F17" s="44">
        <v>0.52939999999999998</v>
      </c>
      <c r="G17" s="44">
        <v>0.41670000000000001</v>
      </c>
      <c r="H17" s="44">
        <v>0.68420000000000003</v>
      </c>
      <c r="I17" s="44">
        <v>0.68420000000000003</v>
      </c>
      <c r="J17" s="44">
        <v>0.85289999999999999</v>
      </c>
      <c r="K17" s="44">
        <v>0.12770000000000001</v>
      </c>
      <c r="L17" s="44">
        <v>0.4773</v>
      </c>
    </row>
    <row r="18" spans="1:12" x14ac:dyDescent="0.25">
      <c r="A18" s="44" t="s">
        <v>1569</v>
      </c>
      <c r="B18" s="44">
        <v>0.45629999999999998</v>
      </c>
      <c r="C18" s="44">
        <v>0.54369999999999996</v>
      </c>
      <c r="D18" s="44">
        <v>0.54369999999999996</v>
      </c>
      <c r="E18" s="44">
        <v>0.2626</v>
      </c>
      <c r="F18" s="44">
        <v>0.23530000000000001</v>
      </c>
      <c r="G18" s="44">
        <v>0.45829999999999999</v>
      </c>
      <c r="H18" s="44">
        <v>0.58850000000000002</v>
      </c>
      <c r="I18" s="44">
        <v>0.57889999999999997</v>
      </c>
      <c r="J18" s="44">
        <v>0.72689999999999999</v>
      </c>
      <c r="K18" s="46">
        <v>0.38300000000000001</v>
      </c>
      <c r="L18" s="44">
        <v>0.43180000000000002</v>
      </c>
    </row>
    <row r="19" spans="1:12" x14ac:dyDescent="0.25">
      <c r="A19" s="44" t="s">
        <v>1570</v>
      </c>
      <c r="B19" s="44">
        <v>1</v>
      </c>
      <c r="C19" s="44">
        <v>0</v>
      </c>
      <c r="D19" s="44">
        <v>0</v>
      </c>
      <c r="E19" s="44">
        <v>0.59219999999999995</v>
      </c>
      <c r="F19" s="44">
        <v>0</v>
      </c>
      <c r="G19" s="44">
        <v>0</v>
      </c>
      <c r="H19" s="44">
        <v>0</v>
      </c>
      <c r="I19" s="44">
        <v>0</v>
      </c>
      <c r="J19" s="44">
        <v>0.9748</v>
      </c>
      <c r="K19" s="44">
        <v>0.23400000000000001</v>
      </c>
      <c r="L19" s="44">
        <v>0.45450000000000002</v>
      </c>
    </row>
    <row r="20" spans="1:12" x14ac:dyDescent="0.25">
      <c r="A20" s="44" t="s">
        <v>1571</v>
      </c>
      <c r="B20" s="44">
        <v>0.32350000000000001</v>
      </c>
      <c r="C20" s="44">
        <v>0.67649999999999999</v>
      </c>
      <c r="D20" s="44">
        <v>0.67649999999999999</v>
      </c>
      <c r="E20" s="44">
        <v>1</v>
      </c>
      <c r="F20" s="44">
        <v>0.29409999999999997</v>
      </c>
      <c r="G20" s="44">
        <v>0.33329999999999999</v>
      </c>
      <c r="H20" s="44">
        <v>0.60770000000000002</v>
      </c>
      <c r="I20" s="44">
        <v>0.84209999999999996</v>
      </c>
      <c r="J20" s="44">
        <v>0.82350000000000001</v>
      </c>
      <c r="K20" s="44">
        <v>0.2979</v>
      </c>
      <c r="L20" s="44">
        <v>0.52270000000000005</v>
      </c>
    </row>
    <row r="21" spans="1:12" x14ac:dyDescent="0.25">
      <c r="A21" s="44" t="s">
        <v>1572</v>
      </c>
      <c r="B21" s="44">
        <v>0.60099999999999998</v>
      </c>
      <c r="C21" s="44">
        <v>0.39900000000000002</v>
      </c>
      <c r="D21" s="44">
        <v>0.39900000000000002</v>
      </c>
      <c r="E21" s="44">
        <v>0.28310000000000002</v>
      </c>
      <c r="F21" s="44">
        <v>0.4118</v>
      </c>
      <c r="G21" s="44">
        <v>0.58330000000000004</v>
      </c>
      <c r="H21" s="44">
        <v>0.68899999999999995</v>
      </c>
      <c r="I21" s="44">
        <v>0.78949999999999998</v>
      </c>
      <c r="J21" s="44">
        <v>0.92859999999999998</v>
      </c>
      <c r="K21" s="44">
        <v>0.44679999999999997</v>
      </c>
      <c r="L21" s="44">
        <v>0.43180000000000002</v>
      </c>
    </row>
    <row r="22" spans="1:12" x14ac:dyDescent="0.25">
      <c r="A22" s="44" t="s">
        <v>1573</v>
      </c>
      <c r="B22" s="44">
        <v>0.72309999999999997</v>
      </c>
      <c r="C22" s="44">
        <v>0.27689999999999998</v>
      </c>
      <c r="D22" s="44">
        <v>0.27689999999999998</v>
      </c>
      <c r="E22" s="44">
        <v>0.37430000000000002</v>
      </c>
      <c r="F22" s="44">
        <v>0</v>
      </c>
      <c r="G22" s="44">
        <v>0.45829999999999999</v>
      </c>
      <c r="H22" s="44">
        <v>0.45450000000000002</v>
      </c>
      <c r="I22" s="44">
        <v>0.26319999999999999</v>
      </c>
      <c r="J22" s="44">
        <v>0.89500000000000002</v>
      </c>
      <c r="K22" s="44">
        <v>8.5099999999999995E-2</v>
      </c>
      <c r="L22" s="44">
        <v>0.61360000000000003</v>
      </c>
    </row>
    <row r="23" spans="1:12" x14ac:dyDescent="0.25">
      <c r="A23" s="44" t="s">
        <v>1574</v>
      </c>
      <c r="B23" s="44">
        <v>0.59350000000000003</v>
      </c>
      <c r="C23" s="44">
        <v>0.40649999999999997</v>
      </c>
      <c r="D23" s="44">
        <v>0.40649999999999997</v>
      </c>
      <c r="E23" s="44">
        <v>0.22720000000000001</v>
      </c>
      <c r="F23" s="44">
        <v>0.29409999999999997</v>
      </c>
      <c r="G23" s="44">
        <v>0.45829999999999999</v>
      </c>
      <c r="H23" s="44">
        <v>0.65069999999999995</v>
      </c>
      <c r="I23" s="44">
        <v>0.52629999999999999</v>
      </c>
      <c r="J23" s="44">
        <v>0.5504</v>
      </c>
      <c r="K23" s="44">
        <v>0.59570000000000001</v>
      </c>
      <c r="L23" s="44">
        <v>0.54549999999999998</v>
      </c>
    </row>
    <row r="24" spans="1:12" x14ac:dyDescent="0.25">
      <c r="A24" s="44" t="s">
        <v>1575</v>
      </c>
      <c r="B24" s="44">
        <v>0.2152</v>
      </c>
      <c r="C24" s="44">
        <v>0.78480000000000005</v>
      </c>
      <c r="D24" s="44">
        <v>0.78480000000000005</v>
      </c>
      <c r="E24" s="44">
        <v>0.18060000000000001</v>
      </c>
      <c r="F24" s="44">
        <v>0.47060000000000002</v>
      </c>
      <c r="G24" s="44">
        <v>0.54169999999999996</v>
      </c>
      <c r="H24" s="44">
        <v>0.53590000000000004</v>
      </c>
      <c r="I24" s="44">
        <v>0.52629999999999999</v>
      </c>
      <c r="J24" s="44">
        <v>0</v>
      </c>
      <c r="K24" s="44">
        <v>0.42549999999999999</v>
      </c>
      <c r="L24" s="44">
        <v>0.4773</v>
      </c>
    </row>
    <row r="25" spans="1:12" x14ac:dyDescent="0.25">
      <c r="A25" s="44" t="s">
        <v>1576</v>
      </c>
      <c r="B25" s="44">
        <v>0.48170000000000002</v>
      </c>
      <c r="C25" s="44">
        <v>0.51829999999999998</v>
      </c>
      <c r="D25" s="44">
        <v>0.51829999999999998</v>
      </c>
      <c r="E25" s="44">
        <v>0.29609999999999997</v>
      </c>
      <c r="F25" s="44">
        <v>0.35289999999999999</v>
      </c>
      <c r="G25" s="44">
        <v>0.375</v>
      </c>
      <c r="H25" s="44">
        <v>0.57889999999999997</v>
      </c>
      <c r="I25" s="44">
        <v>0.68420000000000003</v>
      </c>
      <c r="J25" s="44">
        <v>0.83189999999999997</v>
      </c>
      <c r="K25" s="44">
        <v>1</v>
      </c>
      <c r="L25" s="44">
        <v>0.54549999999999998</v>
      </c>
    </row>
    <row r="26" spans="1:12" x14ac:dyDescent="0.25">
      <c r="A26" s="44" t="s">
        <v>1577</v>
      </c>
      <c r="B26" s="44">
        <v>0.52910000000000001</v>
      </c>
      <c r="C26" s="44">
        <v>0.47089999999999999</v>
      </c>
      <c r="D26" s="44">
        <v>0.47089999999999999</v>
      </c>
      <c r="E26" s="44">
        <v>0.21970000000000001</v>
      </c>
      <c r="F26" s="44">
        <v>0.47060000000000002</v>
      </c>
      <c r="G26" s="44">
        <v>0.83330000000000004</v>
      </c>
      <c r="H26" s="44">
        <v>0.92820000000000003</v>
      </c>
      <c r="I26" s="44">
        <v>0.89470000000000005</v>
      </c>
      <c r="J26" s="44">
        <v>0.65129999999999999</v>
      </c>
      <c r="K26" s="44">
        <v>0.78720000000000001</v>
      </c>
      <c r="L26" s="44">
        <v>0.59089999999999998</v>
      </c>
    </row>
    <row r="27" spans="1:12" x14ac:dyDescent="0.25">
      <c r="A27" s="44" t="s">
        <v>1578</v>
      </c>
      <c r="B27" s="44">
        <v>0.47339999999999999</v>
      </c>
      <c r="C27" s="44">
        <v>0.52659999999999996</v>
      </c>
      <c r="D27" s="44">
        <v>0.52659999999999996</v>
      </c>
      <c r="E27" s="44">
        <v>0.19550000000000001</v>
      </c>
      <c r="F27" s="44">
        <v>0.47060000000000002</v>
      </c>
      <c r="G27" s="44">
        <v>0.79169999999999996</v>
      </c>
      <c r="H27" s="44">
        <v>0.79430000000000001</v>
      </c>
      <c r="I27" s="44">
        <v>0.68420000000000003</v>
      </c>
      <c r="J27" s="44">
        <v>0.44540000000000002</v>
      </c>
      <c r="K27" s="44">
        <v>0.8085</v>
      </c>
      <c r="L27" s="44">
        <v>0.18179999999999999</v>
      </c>
    </row>
    <row r="28" spans="1:12" x14ac:dyDescent="0.25">
      <c r="A28" s="44" t="s">
        <v>1579</v>
      </c>
      <c r="B28" s="44">
        <v>0.73040000000000005</v>
      </c>
      <c r="C28" s="44">
        <v>0.26960000000000001</v>
      </c>
      <c r="D28" s="44">
        <v>0.26960000000000001</v>
      </c>
      <c r="E28" s="44">
        <v>0.35199999999999998</v>
      </c>
      <c r="F28" s="44">
        <v>0</v>
      </c>
      <c r="G28" s="44">
        <v>0.66669999999999996</v>
      </c>
      <c r="H28" s="44">
        <v>0.52629999999999999</v>
      </c>
      <c r="I28" s="44">
        <v>0.42109999999999997</v>
      </c>
      <c r="J28" s="44">
        <v>0.65129999999999999</v>
      </c>
      <c r="K28" s="44">
        <v>0.38300000000000001</v>
      </c>
      <c r="L28" s="44">
        <v>0.34089999999999998</v>
      </c>
    </row>
    <row r="29" spans="1:12" x14ac:dyDescent="0.25">
      <c r="A29" s="44" t="s">
        <v>1580</v>
      </c>
      <c r="B29" s="44">
        <v>0.1996</v>
      </c>
      <c r="C29" s="44">
        <v>0.8004</v>
      </c>
      <c r="D29" s="44">
        <v>0.8004</v>
      </c>
      <c r="E29" s="44">
        <v>0.1024</v>
      </c>
      <c r="F29" s="44">
        <v>0.70589999999999997</v>
      </c>
      <c r="G29" s="44">
        <v>0.875</v>
      </c>
      <c r="H29" s="44">
        <v>0.88039999999999996</v>
      </c>
      <c r="I29" s="44">
        <v>0.89470000000000005</v>
      </c>
      <c r="J29" s="44">
        <v>0.68069999999999997</v>
      </c>
      <c r="K29" s="44">
        <v>0.46810000000000002</v>
      </c>
      <c r="L29" s="44">
        <v>0.2273</v>
      </c>
    </row>
    <row r="30" spans="1:12" x14ac:dyDescent="0.25">
      <c r="A30" s="44" t="s">
        <v>1581</v>
      </c>
      <c r="B30" s="44">
        <v>0.22650000000000001</v>
      </c>
      <c r="C30" s="44">
        <v>0.77349999999999997</v>
      </c>
      <c r="D30" s="44">
        <v>0.77349999999999997</v>
      </c>
      <c r="E30" s="44">
        <v>6.5199999999999994E-2</v>
      </c>
      <c r="F30" s="44">
        <v>0.64710000000000001</v>
      </c>
      <c r="G30" s="44">
        <v>0.83330000000000004</v>
      </c>
      <c r="H30" s="44">
        <v>0.90910000000000002</v>
      </c>
      <c r="I30" s="44">
        <v>0.68420000000000003</v>
      </c>
      <c r="J30" s="44">
        <v>0.65549999999999997</v>
      </c>
      <c r="K30" s="44">
        <v>0.42549999999999999</v>
      </c>
      <c r="L30" s="44">
        <v>0.11360000000000001</v>
      </c>
    </row>
    <row r="31" spans="1:12" x14ac:dyDescent="0.25">
      <c r="A31" s="44" t="s">
        <v>1582</v>
      </c>
      <c r="B31" s="44">
        <v>0.74770000000000003</v>
      </c>
      <c r="C31" s="44">
        <v>0.25230000000000002</v>
      </c>
      <c r="D31" s="44">
        <v>0.25230000000000002</v>
      </c>
      <c r="E31" s="44">
        <v>0.32590000000000002</v>
      </c>
      <c r="F31" s="44">
        <v>0.4118</v>
      </c>
      <c r="G31" s="44">
        <v>0.625</v>
      </c>
      <c r="H31" s="44">
        <v>0.75119999999999998</v>
      </c>
      <c r="I31" s="44">
        <v>0.89470000000000005</v>
      </c>
      <c r="J31" s="44">
        <v>0.78990000000000005</v>
      </c>
      <c r="K31" s="44">
        <v>8.5099999999999995E-2</v>
      </c>
      <c r="L31" s="44">
        <v>0.15909999999999999</v>
      </c>
    </row>
    <row r="32" spans="1:12" x14ac:dyDescent="0.25">
      <c r="A32" s="44" t="s">
        <v>1583</v>
      </c>
      <c r="B32" s="44">
        <v>0.54239999999999999</v>
      </c>
      <c r="C32" s="44">
        <v>0.45760000000000001</v>
      </c>
      <c r="D32" s="44">
        <v>0.45760000000000001</v>
      </c>
      <c r="E32" s="44">
        <v>0.27929999999999999</v>
      </c>
      <c r="F32" s="44">
        <v>0.47060000000000002</v>
      </c>
      <c r="G32" s="44">
        <v>0.58330000000000004</v>
      </c>
      <c r="H32" s="44">
        <v>0.63160000000000005</v>
      </c>
      <c r="I32" s="44">
        <v>0.73680000000000001</v>
      </c>
      <c r="J32" s="44">
        <v>0.77310000000000001</v>
      </c>
      <c r="K32" s="44">
        <v>0.31909999999999999</v>
      </c>
      <c r="L32" s="44">
        <v>0.4773</v>
      </c>
    </row>
    <row r="33" spans="1:12" x14ac:dyDescent="0.25">
      <c r="A33" s="44" t="s">
        <v>1584</v>
      </c>
      <c r="B33" s="44">
        <v>0.22889999999999999</v>
      </c>
      <c r="C33" s="44">
        <v>0.77110000000000001</v>
      </c>
      <c r="D33" s="44">
        <v>0.77110000000000001</v>
      </c>
      <c r="E33" s="44">
        <v>0.1024</v>
      </c>
      <c r="F33" s="44">
        <v>0.70589999999999997</v>
      </c>
      <c r="G33" s="44">
        <v>0.83330000000000004</v>
      </c>
      <c r="H33" s="44">
        <v>0.88039999999999996</v>
      </c>
      <c r="I33" s="44">
        <v>0.78949999999999998</v>
      </c>
      <c r="J33" s="44">
        <v>0.5504</v>
      </c>
      <c r="K33" s="44">
        <v>0.82979999999999998</v>
      </c>
      <c r="L33" s="44">
        <v>0.36359999999999998</v>
      </c>
    </row>
    <row r="34" spans="1:12" x14ac:dyDescent="0.25">
      <c r="A34" s="44" t="s">
        <v>1585</v>
      </c>
      <c r="B34" s="44">
        <v>0.55969999999999998</v>
      </c>
      <c r="C34" s="44">
        <v>0.44030000000000002</v>
      </c>
      <c r="D34" s="44">
        <v>0.44030000000000002</v>
      </c>
      <c r="E34" s="44">
        <v>0.22720000000000001</v>
      </c>
      <c r="F34" s="44">
        <v>0.4118</v>
      </c>
      <c r="G34" s="44">
        <v>0.75</v>
      </c>
      <c r="H34" s="44">
        <v>0.72250000000000003</v>
      </c>
      <c r="I34" s="44">
        <v>0.73680000000000001</v>
      </c>
      <c r="J34" s="44">
        <v>0.74790000000000001</v>
      </c>
      <c r="K34" s="44">
        <v>0.44679999999999997</v>
      </c>
      <c r="L34" s="44">
        <v>0.15909999999999999</v>
      </c>
    </row>
    <row r="35" spans="1:12" x14ac:dyDescent="0.25">
      <c r="A35" s="44" t="s">
        <v>1586</v>
      </c>
      <c r="B35" s="44">
        <v>0.55520000000000003</v>
      </c>
      <c r="C35" s="44">
        <v>0.44479999999999997</v>
      </c>
      <c r="D35" s="44">
        <v>0.44479999999999997</v>
      </c>
      <c r="E35" s="44">
        <v>0.43020000000000003</v>
      </c>
      <c r="F35" s="44">
        <v>0.35289999999999999</v>
      </c>
      <c r="G35" s="44">
        <v>0.70830000000000004</v>
      </c>
      <c r="H35" s="44">
        <v>0.57889999999999997</v>
      </c>
      <c r="I35" s="44">
        <v>0.73680000000000001</v>
      </c>
      <c r="J35" s="44">
        <v>0.68489999999999995</v>
      </c>
      <c r="K35" s="44">
        <v>0.12770000000000001</v>
      </c>
      <c r="L35" s="44">
        <v>9.0899999999999995E-2</v>
      </c>
    </row>
    <row r="36" spans="1:12" x14ac:dyDescent="0.25">
      <c r="A36" s="44" t="s">
        <v>1587</v>
      </c>
      <c r="B36" s="44">
        <v>0</v>
      </c>
      <c r="C36" s="44">
        <v>1</v>
      </c>
      <c r="D36" s="44">
        <v>1</v>
      </c>
      <c r="E36" s="44">
        <v>0</v>
      </c>
      <c r="F36" s="44">
        <v>0.64710000000000001</v>
      </c>
      <c r="G36" s="44">
        <v>0.91669999999999996</v>
      </c>
      <c r="H36" s="44">
        <v>0.97130000000000005</v>
      </c>
      <c r="I36" s="44">
        <v>0.94740000000000002</v>
      </c>
      <c r="J36" s="44">
        <v>0.73950000000000005</v>
      </c>
      <c r="K36" s="44">
        <v>0.40429999999999999</v>
      </c>
      <c r="L36" s="44">
        <v>0.18179999999999999</v>
      </c>
    </row>
    <row r="37" spans="1:12" x14ac:dyDescent="0.25">
      <c r="A37" s="44" t="s">
        <v>1588</v>
      </c>
      <c r="B37" s="44">
        <v>0.17760000000000001</v>
      </c>
      <c r="C37" s="44">
        <v>0.82240000000000002</v>
      </c>
      <c r="D37" s="44">
        <v>0.82240000000000002</v>
      </c>
      <c r="E37" s="44">
        <v>7.4499999999999997E-2</v>
      </c>
      <c r="F37" s="44">
        <v>0.94120000000000004</v>
      </c>
      <c r="G37" s="44">
        <v>0.95830000000000004</v>
      </c>
      <c r="H37" s="44">
        <v>0.9617</v>
      </c>
      <c r="I37" s="44">
        <v>0.84209999999999996</v>
      </c>
      <c r="J37" s="44">
        <v>0.80669999999999997</v>
      </c>
      <c r="K37" s="44">
        <v>0.10639999999999999</v>
      </c>
      <c r="L37" s="44">
        <v>0.4773</v>
      </c>
    </row>
    <row r="38" spans="1:12" x14ac:dyDescent="0.25">
      <c r="A38" s="44" t="s">
        <v>1589</v>
      </c>
      <c r="B38" s="44">
        <v>2.98E-2</v>
      </c>
      <c r="C38" s="44">
        <v>0.97019999999999995</v>
      </c>
      <c r="D38" s="44">
        <v>0.97019999999999995</v>
      </c>
      <c r="E38" s="44">
        <v>2.4199999999999999E-2</v>
      </c>
      <c r="F38" s="44">
        <v>0.88239999999999996</v>
      </c>
      <c r="G38" s="44">
        <v>1</v>
      </c>
      <c r="H38" s="44">
        <v>1</v>
      </c>
      <c r="I38" s="44">
        <v>1</v>
      </c>
      <c r="J38" s="44">
        <v>0.49159999999999998</v>
      </c>
      <c r="K38" s="44">
        <v>0.61699999999999999</v>
      </c>
      <c r="L38" s="44">
        <v>0.4773</v>
      </c>
    </row>
    <row r="39" spans="1:12" x14ac:dyDescent="0.25">
      <c r="A39" s="44" t="s">
        <v>1590</v>
      </c>
      <c r="B39" s="44">
        <v>0.2954</v>
      </c>
      <c r="C39" s="44">
        <v>0.7046</v>
      </c>
      <c r="D39" s="44">
        <v>0.7046</v>
      </c>
      <c r="E39" s="44">
        <v>0.1173</v>
      </c>
      <c r="F39" s="44">
        <v>1</v>
      </c>
      <c r="G39" s="44">
        <v>0.75</v>
      </c>
      <c r="H39" s="44">
        <v>0.80859999999999999</v>
      </c>
      <c r="I39" s="44">
        <v>0.84209999999999996</v>
      </c>
      <c r="J39" s="44">
        <v>0.90339999999999998</v>
      </c>
      <c r="K39" s="44">
        <v>0.1915</v>
      </c>
      <c r="L39" s="44">
        <v>0.20449999999999999</v>
      </c>
    </row>
    <row r="40" spans="1:12" x14ac:dyDescent="0.25">
      <c r="A40" s="44" t="s">
        <v>1591</v>
      </c>
      <c r="B40" s="44">
        <v>0.52280000000000004</v>
      </c>
      <c r="C40" s="44">
        <v>0.47720000000000001</v>
      </c>
      <c r="D40" s="44">
        <v>0.47720000000000001</v>
      </c>
      <c r="E40" s="44">
        <v>0.21790000000000001</v>
      </c>
      <c r="F40" s="44">
        <v>0.4118</v>
      </c>
      <c r="G40" s="44">
        <v>0.625</v>
      </c>
      <c r="H40" s="44">
        <v>0.65549999999999997</v>
      </c>
      <c r="I40" s="44">
        <v>0.63160000000000005</v>
      </c>
      <c r="J40" s="44">
        <v>0.86550000000000005</v>
      </c>
      <c r="K40" s="44">
        <v>2.1299999999999999E-2</v>
      </c>
      <c r="L40" s="44">
        <v>0.40910000000000002</v>
      </c>
    </row>
    <row r="41" spans="1:12" x14ac:dyDescent="0.25">
      <c r="A41" s="44" t="s">
        <v>1592</v>
      </c>
      <c r="B41" s="44">
        <v>0.29060000000000002</v>
      </c>
      <c r="C41" s="44">
        <v>0.70940000000000003</v>
      </c>
      <c r="D41" s="44">
        <v>0.70940000000000003</v>
      </c>
      <c r="E41" s="44">
        <v>0.13780000000000001</v>
      </c>
      <c r="F41" s="44">
        <v>0.70589999999999997</v>
      </c>
      <c r="G41" s="44">
        <v>0.79169999999999996</v>
      </c>
      <c r="H41" s="44">
        <v>0.86599999999999999</v>
      </c>
      <c r="I41" s="44">
        <v>0.94740000000000002</v>
      </c>
      <c r="J41" s="44">
        <v>0.89500000000000002</v>
      </c>
      <c r="K41" s="44">
        <v>0.31909999999999999</v>
      </c>
      <c r="L41" s="44">
        <v>0.4773</v>
      </c>
    </row>
    <row r="42" spans="1:12" x14ac:dyDescent="0.25">
      <c r="A42" s="44" t="s">
        <v>1593</v>
      </c>
      <c r="B42" s="44">
        <v>0.59430000000000005</v>
      </c>
      <c r="C42" s="44">
        <v>0.40570000000000001</v>
      </c>
      <c r="D42" s="44">
        <v>0.40570000000000001</v>
      </c>
      <c r="E42" s="44">
        <v>0.18809999999999999</v>
      </c>
      <c r="F42" s="44">
        <v>0.52939999999999998</v>
      </c>
      <c r="G42" s="44">
        <v>0.625</v>
      </c>
      <c r="H42" s="44">
        <v>0.77510000000000001</v>
      </c>
      <c r="I42" s="44">
        <v>0.89470000000000005</v>
      </c>
      <c r="J42" s="44">
        <v>0.72270000000000001</v>
      </c>
      <c r="K42" s="44">
        <v>0.87229999999999996</v>
      </c>
      <c r="L42" s="44">
        <v>0.84089999999999998</v>
      </c>
    </row>
    <row r="43" spans="1:12" x14ac:dyDescent="0.25">
      <c r="A43" s="44" t="s">
        <v>1594</v>
      </c>
      <c r="B43" s="44">
        <v>0.31469999999999998</v>
      </c>
      <c r="C43" s="44">
        <v>0.68530000000000002</v>
      </c>
      <c r="D43" s="44">
        <v>0.68530000000000002</v>
      </c>
      <c r="E43" s="44">
        <v>0.8417</v>
      </c>
      <c r="F43" s="44">
        <v>0.58819999999999995</v>
      </c>
      <c r="G43" s="44">
        <v>0.66669999999999996</v>
      </c>
      <c r="H43" s="44">
        <v>0.77510000000000001</v>
      </c>
      <c r="I43" s="44">
        <v>1</v>
      </c>
      <c r="J43" s="44">
        <v>0.64290000000000003</v>
      </c>
      <c r="K43" s="44">
        <v>0.61699999999999999</v>
      </c>
      <c r="L43" s="44">
        <v>0.5</v>
      </c>
    </row>
    <row r="44" spans="1:12" x14ac:dyDescent="0.25">
      <c r="A44" t="s">
        <v>1595</v>
      </c>
      <c r="B44">
        <v>0.18429999999999999</v>
      </c>
      <c r="C44">
        <v>0.81569999999999998</v>
      </c>
      <c r="D44">
        <v>0.81569999999999998</v>
      </c>
      <c r="E44">
        <v>0.13220000000000001</v>
      </c>
      <c r="F44">
        <v>0.35289999999999999</v>
      </c>
      <c r="G44">
        <v>0.79169999999999996</v>
      </c>
      <c r="H44">
        <v>0.6986</v>
      </c>
      <c r="I44">
        <v>0.73680000000000001</v>
      </c>
      <c r="J44">
        <v>0.93279999999999996</v>
      </c>
      <c r="K44">
        <v>0.34039999999999998</v>
      </c>
      <c r="L44">
        <v>0.2273</v>
      </c>
    </row>
  </sheetData>
  <mergeCells count="13">
    <mergeCell ref="A1:L2"/>
    <mergeCell ref="H3:H4"/>
    <mergeCell ref="F3:F4"/>
    <mergeCell ref="D3:D4"/>
    <mergeCell ref="J3:J4"/>
    <mergeCell ref="I3:I4"/>
    <mergeCell ref="G3:G4"/>
    <mergeCell ref="E3:E4"/>
    <mergeCell ref="K3:K4"/>
    <mergeCell ref="C3:C4"/>
    <mergeCell ref="B3:B4"/>
    <mergeCell ref="A3:A4"/>
    <mergeCell ref="L3:L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D14"/>
  <sheetViews>
    <sheetView workbookViewId="0"/>
  </sheetViews>
  <sheetFormatPr defaultRowHeight="15" x14ac:dyDescent="0.25"/>
  <cols>
    <col min="1" max="1" width="18.42578125" customWidth="1"/>
    <col min="2" max="2" width="18.5703125" customWidth="1"/>
    <col min="3" max="3" width="15.7109375" customWidth="1"/>
    <col min="4" max="4" width="15.5703125" customWidth="1"/>
  </cols>
  <sheetData>
    <row r="3" spans="1:4" x14ac:dyDescent="0.25">
      <c r="A3" s="47" t="s">
        <v>1598</v>
      </c>
      <c r="B3" s="47" t="s">
        <v>1617</v>
      </c>
      <c r="C3" s="47" t="s">
        <v>1618</v>
      </c>
      <c r="D3" s="47" t="s">
        <v>1619</v>
      </c>
    </row>
    <row r="4" spans="1:4" x14ac:dyDescent="0.25">
      <c r="A4" s="48" t="s">
        <v>1601</v>
      </c>
      <c r="B4" s="48">
        <v>1</v>
      </c>
      <c r="C4" s="48">
        <v>0.54239999999999999</v>
      </c>
      <c r="D4" s="48">
        <v>0.16120000000000001</v>
      </c>
    </row>
    <row r="5" spans="1:4" x14ac:dyDescent="0.25">
      <c r="A5" s="48" t="s">
        <v>1596</v>
      </c>
      <c r="B5" s="48">
        <v>0</v>
      </c>
      <c r="C5" s="48">
        <v>0.45760000000000001</v>
      </c>
      <c r="D5" s="48">
        <v>0.83879999999999999</v>
      </c>
    </row>
    <row r="6" spans="1:4" x14ac:dyDescent="0.25">
      <c r="A6" s="48" t="s">
        <v>1605</v>
      </c>
      <c r="B6" s="48">
        <v>0</v>
      </c>
      <c r="C6" s="48">
        <v>0.45760000000000001</v>
      </c>
      <c r="D6" s="48">
        <v>0.83879999999999999</v>
      </c>
    </row>
    <row r="7" spans="1:4" x14ac:dyDescent="0.25">
      <c r="A7" s="48" t="s">
        <v>1597</v>
      </c>
      <c r="B7" s="48">
        <v>0.59219999999999995</v>
      </c>
      <c r="C7" s="48">
        <v>0.27929999999999999</v>
      </c>
      <c r="D7" s="48">
        <v>4.8399999999999999E-2</v>
      </c>
    </row>
    <row r="8" spans="1:4" x14ac:dyDescent="0.25">
      <c r="A8" s="48" t="s">
        <v>1539</v>
      </c>
      <c r="B8" s="48">
        <v>0</v>
      </c>
      <c r="C8" s="48">
        <v>0.47060000000000002</v>
      </c>
      <c r="D8" s="48">
        <v>0.82350000000000001</v>
      </c>
    </row>
    <row r="9" spans="1:4" x14ac:dyDescent="0.25">
      <c r="A9" s="48" t="s">
        <v>1609</v>
      </c>
      <c r="B9" s="48">
        <v>0</v>
      </c>
      <c r="C9" s="48">
        <v>0.58330000000000004</v>
      </c>
      <c r="D9" s="48">
        <v>0.95830000000000004</v>
      </c>
    </row>
    <row r="10" spans="1:4" x14ac:dyDescent="0.25">
      <c r="A10" s="48" t="s">
        <v>1542</v>
      </c>
      <c r="B10" s="48">
        <v>0</v>
      </c>
      <c r="C10" s="48">
        <v>0.63160000000000005</v>
      </c>
      <c r="D10" s="48">
        <v>0.98089999999999999</v>
      </c>
    </row>
    <row r="11" spans="1:4" x14ac:dyDescent="0.25">
      <c r="A11" s="48" t="s">
        <v>1543</v>
      </c>
      <c r="B11" s="48">
        <v>0</v>
      </c>
      <c r="C11" s="48">
        <v>0.73680000000000001</v>
      </c>
      <c r="D11" s="48">
        <v>0.89470000000000005</v>
      </c>
    </row>
    <row r="12" spans="1:4" x14ac:dyDescent="0.25">
      <c r="A12" s="48" t="s">
        <v>1547</v>
      </c>
      <c r="B12" s="49">
        <v>0.9748</v>
      </c>
      <c r="C12" s="48">
        <v>0.77310000000000001</v>
      </c>
      <c r="D12" s="48">
        <v>0.77729999999999999</v>
      </c>
    </row>
    <row r="13" spans="1:4" x14ac:dyDescent="0.25">
      <c r="A13" s="48" t="s">
        <v>1611</v>
      </c>
      <c r="B13" s="48">
        <v>0.23400000000000001</v>
      </c>
      <c r="C13" s="48">
        <v>0.31909999999999999</v>
      </c>
      <c r="D13" s="48">
        <v>0.23400000000000001</v>
      </c>
    </row>
    <row r="14" spans="1:4" x14ac:dyDescent="0.25">
      <c r="A14" s="48" t="s">
        <v>1613</v>
      </c>
      <c r="B14" s="48">
        <v>0.45450000000000002</v>
      </c>
      <c r="C14" s="48">
        <v>0.4773</v>
      </c>
      <c r="D14" s="48">
        <v>0.93179999999999996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47"/>
  <sheetViews>
    <sheetView workbookViewId="0">
      <selection sqref="A1:P2"/>
    </sheetView>
  </sheetViews>
  <sheetFormatPr defaultRowHeight="15" x14ac:dyDescent="0.25"/>
  <cols>
    <col min="1" max="1" width="24" customWidth="1"/>
    <col min="2" max="2" width="12.85546875" customWidth="1"/>
    <col min="3" max="12" width="13" customWidth="1"/>
    <col min="13" max="15" width="15" customWidth="1"/>
    <col min="16" max="16" width="12" customWidth="1"/>
    <col min="17" max="17" width="18" customWidth="1"/>
    <col min="18" max="21" width="18" hidden="1" customWidth="1"/>
  </cols>
  <sheetData>
    <row r="1" spans="1:21" x14ac:dyDescent="0.25">
      <c r="A1" s="106" t="s">
        <v>1620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50"/>
      <c r="R1" s="50" t="s">
        <v>1598</v>
      </c>
      <c r="S1" s="50" t="s">
        <v>1617</v>
      </c>
      <c r="T1" s="50" t="s">
        <v>1618</v>
      </c>
      <c r="U1" s="50" t="s">
        <v>1619</v>
      </c>
    </row>
    <row r="2" spans="1:21" x14ac:dyDescent="0.25">
      <c r="A2" s="91"/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51"/>
      <c r="R2" s="51" t="s">
        <v>45</v>
      </c>
      <c r="S2" s="52">
        <v>1</v>
      </c>
      <c r="T2" s="52">
        <v>0.54239999999999999</v>
      </c>
      <c r="U2" s="52">
        <v>0.16120000000000001</v>
      </c>
    </row>
    <row r="3" spans="1:21" x14ac:dyDescent="0.25">
      <c r="A3" s="51"/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 t="s">
        <v>1596</v>
      </c>
      <c r="S3" s="52">
        <v>0</v>
      </c>
      <c r="T3" s="52">
        <v>0.45760000000000001</v>
      </c>
      <c r="U3" s="52">
        <v>0.83879999999999999</v>
      </c>
    </row>
    <row r="4" spans="1:21" x14ac:dyDescent="0.25">
      <c r="A4" s="55" t="s">
        <v>1621</v>
      </c>
      <c r="B4" s="55" t="s">
        <v>1622</v>
      </c>
      <c r="C4" s="55" t="s">
        <v>1623</v>
      </c>
      <c r="D4" s="55" t="s">
        <v>1624</v>
      </c>
      <c r="E4" s="55" t="s">
        <v>1625</v>
      </c>
      <c r="F4" s="55" t="s">
        <v>1626</v>
      </c>
      <c r="G4" s="55" t="s">
        <v>1627</v>
      </c>
      <c r="H4" s="55" t="s">
        <v>1628</v>
      </c>
      <c r="I4" s="55" t="s">
        <v>1629</v>
      </c>
      <c r="J4" s="55" t="s">
        <v>1630</v>
      </c>
      <c r="K4" s="55" t="s">
        <v>1631</v>
      </c>
      <c r="L4" s="55" t="s">
        <v>1632</v>
      </c>
      <c r="M4" s="55" t="s">
        <v>1633</v>
      </c>
      <c r="N4" s="55" t="s">
        <v>1634</v>
      </c>
      <c r="O4" s="55" t="s">
        <v>1635</v>
      </c>
      <c r="P4" s="55" t="s">
        <v>1636</v>
      </c>
      <c r="Q4" s="51"/>
      <c r="R4" s="51" t="s">
        <v>46</v>
      </c>
      <c r="S4" s="52">
        <v>0</v>
      </c>
      <c r="T4" s="52">
        <v>0.45760000000000001</v>
      </c>
      <c r="U4" s="52">
        <v>0.83879999999999999</v>
      </c>
    </row>
    <row r="5" spans="1:21" x14ac:dyDescent="0.25">
      <c r="A5" s="54" t="s">
        <v>1555</v>
      </c>
      <c r="B5" s="57">
        <v>0.46339999999999998</v>
      </c>
      <c r="C5" s="57">
        <v>0.53659999999999997</v>
      </c>
      <c r="D5" s="57">
        <v>0.53659999999999997</v>
      </c>
      <c r="E5" s="57">
        <v>0.17879999999999999</v>
      </c>
      <c r="F5" s="57">
        <v>0.76470000000000005</v>
      </c>
      <c r="G5" s="57">
        <v>0.91669999999999996</v>
      </c>
      <c r="H5" s="57">
        <v>0.85650000000000004</v>
      </c>
      <c r="I5" s="57">
        <v>0.89470000000000005</v>
      </c>
      <c r="J5" s="57">
        <v>0.89500000000000002</v>
      </c>
      <c r="K5" s="57">
        <v>0.63829999999999998</v>
      </c>
      <c r="L5" s="57">
        <v>1</v>
      </c>
      <c r="M5" s="57">
        <f t="shared" ref="M5:M44" si="0">SQRT((B5-$S$2)^2+(C5-$S$3)^2+(D5-$S$4)^2+(E5-$S$5)^2+(F5-$S$6)^2+(G5-$S$7)^2+(H5-$S$8)^2+(I5-$S$9)^2+(J5-$S$10)^2+(K5-$S$11)^2+(L5-$S$12)^2)</f>
        <v>2.1121790501754343</v>
      </c>
      <c r="N5" s="57">
        <f t="shared" ref="N5:N44" si="1">SQRT((B5-$T$2)^2+(C5-$T$3)^2+(D5-$T$4)^2+(E5-$T$5)^2+(F5-$T$6)^2+(G5-$T$7)^2+(H5-$T$8)^2+(I5-$T$9)^2+(J5-$T$10)^2+(K5-$T$11)^2+(L5-$T$12)^2)</f>
        <v>0.83183506778687799</v>
      </c>
      <c r="O5" s="57">
        <f t="shared" ref="O5:O44" si="2">SQRT((B5-$U$2)^2+(C5-$U$3)^2+(D5-$U$4)^2+(E5-$U$5)^2+(F5-$U$6)^2+(G5-$U$7)^2+(H5-$U$8)^2+(I5-$U$9)^2+(J5-$U$10)^2+(K5-$U$11)^2+(L5-$U$12)^2)</f>
        <v>0.70257032388224316</v>
      </c>
      <c r="P5" s="56" t="str">
        <f t="shared" ref="P5:P44" si="3">IF(M5=MIN(M5:O5),$R$14,IF(N5=MIN(M5:O5),$R$15,$R$16))</f>
        <v>C3</v>
      </c>
      <c r="Q5" s="51"/>
      <c r="R5" s="51" t="s">
        <v>1597</v>
      </c>
      <c r="S5" s="52">
        <v>0.59219999999999995</v>
      </c>
      <c r="T5" s="52">
        <v>0.27929999999999999</v>
      </c>
      <c r="U5" s="52">
        <v>4.8399999999999999E-2</v>
      </c>
    </row>
    <row r="6" spans="1:21" x14ac:dyDescent="0.25">
      <c r="A6" s="54" t="s">
        <v>1557</v>
      </c>
      <c r="B6" s="57">
        <v>0.30759999999999998</v>
      </c>
      <c r="C6" s="57">
        <v>0.69240000000000002</v>
      </c>
      <c r="D6" s="57">
        <v>0.69240000000000002</v>
      </c>
      <c r="E6" s="57">
        <v>0.15640000000000001</v>
      </c>
      <c r="F6" s="57">
        <v>0.70589999999999997</v>
      </c>
      <c r="G6" s="57">
        <v>0.79169999999999996</v>
      </c>
      <c r="H6" s="57">
        <v>0.70330000000000004</v>
      </c>
      <c r="I6" s="57">
        <v>0.84209999999999996</v>
      </c>
      <c r="J6" s="57">
        <v>1</v>
      </c>
      <c r="K6" s="57">
        <v>0.10639999999999999</v>
      </c>
      <c r="L6" s="57">
        <v>0.13639999999999999</v>
      </c>
      <c r="M6" s="57">
        <f t="shared" si="0"/>
        <v>2.0186942140898907</v>
      </c>
      <c r="N6" s="57">
        <f t="shared" si="1"/>
        <v>0.71306442205455745</v>
      </c>
      <c r="O6" s="57">
        <f t="shared" si="2"/>
        <v>0.94652782843400862</v>
      </c>
      <c r="P6" s="56" t="str">
        <f t="shared" si="3"/>
        <v>C2</v>
      </c>
      <c r="Q6" s="51"/>
      <c r="R6" s="51" t="s">
        <v>1539</v>
      </c>
      <c r="S6" s="52">
        <v>0</v>
      </c>
      <c r="T6" s="52">
        <v>0.47060000000000002</v>
      </c>
      <c r="U6" s="52">
        <v>0.82350000000000001</v>
      </c>
    </row>
    <row r="7" spans="1:21" x14ac:dyDescent="0.25">
      <c r="A7" s="54" t="s">
        <v>1558</v>
      </c>
      <c r="B7" s="57">
        <v>0.28560000000000002</v>
      </c>
      <c r="C7" s="57">
        <v>0.71440000000000003</v>
      </c>
      <c r="D7" s="57">
        <v>0.71440000000000003</v>
      </c>
      <c r="E7" s="57">
        <v>0.11550000000000001</v>
      </c>
      <c r="F7" s="57">
        <v>0.70589999999999997</v>
      </c>
      <c r="G7" s="57">
        <v>0.95830000000000004</v>
      </c>
      <c r="H7" s="57">
        <v>0.87080000000000002</v>
      </c>
      <c r="I7" s="57">
        <v>0.78949999999999998</v>
      </c>
      <c r="J7" s="57">
        <v>0.77729999999999999</v>
      </c>
      <c r="K7" s="57">
        <v>0.34039999999999998</v>
      </c>
      <c r="L7" s="57">
        <v>0.2273</v>
      </c>
      <c r="M7" s="57">
        <f t="shared" si="0"/>
        <v>2.1583624834582351</v>
      </c>
      <c r="N7" s="57">
        <f t="shared" si="1"/>
        <v>0.73730964323003401</v>
      </c>
      <c r="O7" s="57">
        <f t="shared" si="2"/>
        <v>0.77174381111868973</v>
      </c>
      <c r="P7" s="56" t="str">
        <f t="shared" si="3"/>
        <v>C2</v>
      </c>
      <c r="Q7" s="51"/>
      <c r="R7" s="51" t="s">
        <v>1541</v>
      </c>
      <c r="S7" s="52">
        <v>0</v>
      </c>
      <c r="T7" s="52">
        <v>0.58330000000000004</v>
      </c>
      <c r="U7" s="52">
        <v>0.95830000000000004</v>
      </c>
    </row>
    <row r="8" spans="1:21" x14ac:dyDescent="0.25">
      <c r="A8" s="54" t="s">
        <v>1559</v>
      </c>
      <c r="B8" s="57">
        <v>0.4153</v>
      </c>
      <c r="C8" s="57">
        <v>0.5847</v>
      </c>
      <c r="D8" s="57">
        <v>0.5847</v>
      </c>
      <c r="E8" s="57">
        <v>0.5363</v>
      </c>
      <c r="F8" s="57">
        <v>0.70589999999999997</v>
      </c>
      <c r="G8" s="57">
        <v>0.83330000000000004</v>
      </c>
      <c r="H8" s="57">
        <v>0.78949999999999998</v>
      </c>
      <c r="I8" s="57">
        <v>0.84209999999999996</v>
      </c>
      <c r="J8" s="57">
        <v>0.94120000000000004</v>
      </c>
      <c r="K8" s="57">
        <v>0.27660000000000001</v>
      </c>
      <c r="L8" s="57">
        <v>0.20449999999999999</v>
      </c>
      <c r="M8" s="57">
        <f t="shared" si="0"/>
        <v>1.9024503042129641</v>
      </c>
      <c r="N8" s="57">
        <f t="shared" si="1"/>
        <v>0.61064107297167614</v>
      </c>
      <c r="O8" s="57">
        <f t="shared" si="2"/>
        <v>1.0287106395872456</v>
      </c>
      <c r="P8" s="56" t="str">
        <f t="shared" si="3"/>
        <v>C2</v>
      </c>
      <c r="Q8" s="51"/>
      <c r="R8" s="51" t="s">
        <v>1542</v>
      </c>
      <c r="S8" s="52">
        <v>0</v>
      </c>
      <c r="T8" s="52">
        <v>0.63160000000000005</v>
      </c>
      <c r="U8" s="52">
        <v>0.98089999999999999</v>
      </c>
    </row>
    <row r="9" spans="1:21" x14ac:dyDescent="0.25">
      <c r="A9" s="54" t="s">
        <v>1560</v>
      </c>
      <c r="B9" s="57">
        <v>0.75570000000000004</v>
      </c>
      <c r="C9" s="57">
        <v>0.24429999999999999</v>
      </c>
      <c r="D9" s="57">
        <v>0.24429999999999999</v>
      </c>
      <c r="E9" s="57">
        <v>0.27750000000000002</v>
      </c>
      <c r="F9" s="57">
        <v>0.47060000000000002</v>
      </c>
      <c r="G9" s="57">
        <v>0.79169999999999996</v>
      </c>
      <c r="H9" s="57">
        <v>0.6411</v>
      </c>
      <c r="I9" s="57">
        <v>0.57889999999999997</v>
      </c>
      <c r="J9" s="57">
        <v>0.83189999999999997</v>
      </c>
      <c r="K9" s="57">
        <v>0.44679999999999997</v>
      </c>
      <c r="L9" s="57">
        <v>2.2700000000000001E-2</v>
      </c>
      <c r="M9" s="57">
        <f t="shared" si="0"/>
        <v>1.4576099341044573</v>
      </c>
      <c r="N9" s="57">
        <f t="shared" si="1"/>
        <v>0.6567899359764886</v>
      </c>
      <c r="O9" s="57">
        <f t="shared" si="2"/>
        <v>1.5345986511137042</v>
      </c>
      <c r="P9" s="56" t="str">
        <f t="shared" si="3"/>
        <v>C2</v>
      </c>
      <c r="Q9" s="51"/>
      <c r="R9" s="51" t="s">
        <v>1543</v>
      </c>
      <c r="S9" s="52">
        <v>0</v>
      </c>
      <c r="T9" s="52">
        <v>0.73680000000000001</v>
      </c>
      <c r="U9" s="52">
        <v>0.89470000000000005</v>
      </c>
    </row>
    <row r="10" spans="1:21" x14ac:dyDescent="0.25">
      <c r="A10" s="54" t="s">
        <v>1561</v>
      </c>
      <c r="B10" s="57">
        <v>0.17730000000000001</v>
      </c>
      <c r="C10" s="57">
        <v>0.82269999999999999</v>
      </c>
      <c r="D10" s="57">
        <v>0.82269999999999999</v>
      </c>
      <c r="E10" s="57">
        <v>0.11550000000000001</v>
      </c>
      <c r="F10" s="57">
        <v>0.64710000000000001</v>
      </c>
      <c r="G10" s="57">
        <v>0.91669999999999996</v>
      </c>
      <c r="H10" s="57">
        <v>0.82299999999999995</v>
      </c>
      <c r="I10" s="57">
        <v>0.89470000000000005</v>
      </c>
      <c r="J10" s="57">
        <v>0.77310000000000001</v>
      </c>
      <c r="K10" s="57">
        <v>0.46810000000000002</v>
      </c>
      <c r="L10" s="57">
        <v>9.0899999999999995E-2</v>
      </c>
      <c r="M10" s="57">
        <f t="shared" si="0"/>
        <v>2.2852426151286434</v>
      </c>
      <c r="N10" s="57">
        <f t="shared" si="1"/>
        <v>0.89560293099118427</v>
      </c>
      <c r="O10" s="57">
        <f t="shared" si="2"/>
        <v>0.90829137945925698</v>
      </c>
      <c r="P10" s="56" t="str">
        <f t="shared" si="3"/>
        <v>C2</v>
      </c>
      <c r="Q10" s="51"/>
      <c r="R10" s="51" t="s">
        <v>1547</v>
      </c>
      <c r="S10" s="52">
        <v>0.9748</v>
      </c>
      <c r="T10" s="52">
        <v>0.77310000000000001</v>
      </c>
      <c r="U10" s="52">
        <v>0.77729999999999999</v>
      </c>
    </row>
    <row r="11" spans="1:21" x14ac:dyDescent="0.25">
      <c r="A11" s="54" t="s">
        <v>1562</v>
      </c>
      <c r="B11" s="57">
        <v>0.51900000000000002</v>
      </c>
      <c r="C11" s="57">
        <v>0.48099999999999998</v>
      </c>
      <c r="D11" s="57">
        <v>0.48099999999999998</v>
      </c>
      <c r="E11" s="57">
        <v>0.21229999999999999</v>
      </c>
      <c r="F11" s="57">
        <v>0.35289999999999999</v>
      </c>
      <c r="G11" s="57">
        <v>0.625</v>
      </c>
      <c r="H11" s="57">
        <v>0.622</v>
      </c>
      <c r="I11" s="57">
        <v>0.73680000000000001</v>
      </c>
      <c r="J11" s="57">
        <v>0.4748</v>
      </c>
      <c r="K11" s="57">
        <v>0.51060000000000005</v>
      </c>
      <c r="L11" s="57">
        <v>0.25</v>
      </c>
      <c r="M11" s="57">
        <f t="shared" si="0"/>
        <v>1.6283907608433548</v>
      </c>
      <c r="N11" s="57">
        <f t="shared" si="1"/>
        <v>0.4462470728195313</v>
      </c>
      <c r="O11" s="57">
        <f t="shared" si="2"/>
        <v>1.2369663091612479</v>
      </c>
      <c r="P11" s="56" t="str">
        <f t="shared" si="3"/>
        <v>C2</v>
      </c>
      <c r="Q11" s="51"/>
      <c r="R11" s="51" t="s">
        <v>1549</v>
      </c>
      <c r="S11" s="52">
        <v>0.23400000000000001</v>
      </c>
      <c r="T11" s="52">
        <v>0.31909999999999999</v>
      </c>
      <c r="U11" s="52">
        <v>0.23400000000000001</v>
      </c>
    </row>
    <row r="12" spans="1:21" x14ac:dyDescent="0.25">
      <c r="A12" s="54" t="s">
        <v>1563</v>
      </c>
      <c r="B12" s="57">
        <v>0.1618</v>
      </c>
      <c r="C12" s="57">
        <v>0.83819999999999995</v>
      </c>
      <c r="D12" s="57">
        <v>0.83819999999999995</v>
      </c>
      <c r="E12" s="57">
        <v>8.3799999999999999E-2</v>
      </c>
      <c r="F12" s="57">
        <v>0.70589999999999997</v>
      </c>
      <c r="G12" s="57">
        <v>1</v>
      </c>
      <c r="H12" s="57">
        <v>0.93300000000000005</v>
      </c>
      <c r="I12" s="57">
        <v>0.78949999999999998</v>
      </c>
      <c r="J12" s="57">
        <v>0.57979999999999998</v>
      </c>
      <c r="K12" s="57">
        <v>0.23400000000000001</v>
      </c>
      <c r="L12" s="57">
        <v>0.13639999999999999</v>
      </c>
      <c r="M12" s="57">
        <f t="shared" si="0"/>
        <v>2.3697077773430211</v>
      </c>
      <c r="N12" s="57">
        <f t="shared" si="1"/>
        <v>0.97787180652680639</v>
      </c>
      <c r="O12" s="57">
        <f t="shared" si="2"/>
        <v>0.83776592792975291</v>
      </c>
      <c r="P12" s="56" t="str">
        <f t="shared" si="3"/>
        <v>C3</v>
      </c>
      <c r="Q12" s="51"/>
      <c r="R12" s="51" t="s">
        <v>1550</v>
      </c>
      <c r="S12" s="52">
        <v>0.45450000000000002</v>
      </c>
      <c r="T12" s="52">
        <v>0.4773</v>
      </c>
      <c r="U12" s="52">
        <v>0.93179999999999996</v>
      </c>
    </row>
    <row r="13" spans="1:21" x14ac:dyDescent="0.25">
      <c r="A13" s="54" t="s">
        <v>1564</v>
      </c>
      <c r="B13" s="57">
        <v>0.2944</v>
      </c>
      <c r="C13" s="57">
        <v>0.7056</v>
      </c>
      <c r="D13" s="57">
        <v>0.7056</v>
      </c>
      <c r="E13" s="57">
        <v>0.14149999999999999</v>
      </c>
      <c r="F13" s="57">
        <v>0.47060000000000002</v>
      </c>
      <c r="G13" s="57">
        <v>0.66669999999999996</v>
      </c>
      <c r="H13" s="57">
        <v>0.71289999999999998</v>
      </c>
      <c r="I13" s="57">
        <v>0.68420000000000003</v>
      </c>
      <c r="J13" s="57">
        <v>0.77310000000000001</v>
      </c>
      <c r="K13" s="57">
        <v>0.34039999999999998</v>
      </c>
      <c r="L13" s="57">
        <v>0</v>
      </c>
      <c r="M13" s="57">
        <f t="shared" si="0"/>
        <v>1.8967414083105794</v>
      </c>
      <c r="N13" s="57">
        <f t="shared" si="1"/>
        <v>0.66940408573596266</v>
      </c>
      <c r="O13" s="57">
        <f t="shared" si="2"/>
        <v>1.1256941813832031</v>
      </c>
      <c r="P13" s="56" t="str">
        <f t="shared" si="3"/>
        <v>C2</v>
      </c>
      <c r="Q13" s="51"/>
      <c r="R13" s="51"/>
      <c r="S13" s="51"/>
      <c r="T13" s="51"/>
      <c r="U13" s="51"/>
    </row>
    <row r="14" spans="1:21" x14ac:dyDescent="0.25">
      <c r="A14" s="54" t="s">
        <v>1565</v>
      </c>
      <c r="B14" s="57">
        <v>0.41549999999999998</v>
      </c>
      <c r="C14" s="57">
        <v>0.58450000000000002</v>
      </c>
      <c r="D14" s="57">
        <v>0.58450000000000002</v>
      </c>
      <c r="E14" s="57">
        <v>0.19370000000000001</v>
      </c>
      <c r="F14" s="57">
        <v>0.17649999999999999</v>
      </c>
      <c r="G14" s="57">
        <v>0.83330000000000004</v>
      </c>
      <c r="H14" s="57">
        <v>0.76559999999999995</v>
      </c>
      <c r="I14" s="57">
        <v>0.84209999999999996</v>
      </c>
      <c r="J14" s="57">
        <v>0.93279999999999996</v>
      </c>
      <c r="K14" s="57">
        <v>0</v>
      </c>
      <c r="L14" s="57">
        <v>6.8199999999999997E-2</v>
      </c>
      <c r="M14" s="57">
        <f t="shared" si="0"/>
        <v>1.8466964016859946</v>
      </c>
      <c r="N14" s="57">
        <f t="shared" si="1"/>
        <v>0.72688981283272913</v>
      </c>
      <c r="O14" s="57">
        <f t="shared" si="2"/>
        <v>1.234185407465183</v>
      </c>
      <c r="P14" s="56" t="str">
        <f t="shared" si="3"/>
        <v>C2</v>
      </c>
      <c r="Q14" s="51"/>
      <c r="R14" s="51" t="s">
        <v>1637</v>
      </c>
      <c r="S14" s="51"/>
      <c r="T14" s="51"/>
      <c r="U14" s="51"/>
    </row>
    <row r="15" spans="1:21" x14ac:dyDescent="0.25">
      <c r="A15" s="54" t="s">
        <v>1566</v>
      </c>
      <c r="B15" s="57">
        <v>0.16120000000000001</v>
      </c>
      <c r="C15" s="57">
        <v>0.83879999999999999</v>
      </c>
      <c r="D15" s="57">
        <v>0.83879999999999999</v>
      </c>
      <c r="E15" s="57">
        <v>4.8399999999999999E-2</v>
      </c>
      <c r="F15" s="57">
        <v>0.82350000000000001</v>
      </c>
      <c r="G15" s="57">
        <v>0.95830000000000004</v>
      </c>
      <c r="H15" s="57">
        <v>0.98089999999999999</v>
      </c>
      <c r="I15" s="57">
        <v>0.89470000000000005</v>
      </c>
      <c r="J15" s="57">
        <v>0.77729999999999999</v>
      </c>
      <c r="K15" s="57">
        <v>0.23400000000000001</v>
      </c>
      <c r="L15" s="57">
        <v>0.93179999999999996</v>
      </c>
      <c r="M15" s="57">
        <f t="shared" si="0"/>
        <v>2.456102672935315</v>
      </c>
      <c r="N15" s="57">
        <f t="shared" si="1"/>
        <v>1.0560262023264384</v>
      </c>
      <c r="O15" s="57">
        <f t="shared" si="2"/>
        <v>0</v>
      </c>
      <c r="P15" s="56" t="str">
        <f t="shared" si="3"/>
        <v>C3</v>
      </c>
      <c r="Q15" s="51"/>
      <c r="R15" s="51" t="s">
        <v>1638</v>
      </c>
      <c r="S15" s="51"/>
      <c r="T15" s="51"/>
      <c r="U15" s="51"/>
    </row>
    <row r="16" spans="1:21" x14ac:dyDescent="0.25">
      <c r="A16" s="54" t="s">
        <v>1567</v>
      </c>
      <c r="B16" s="57">
        <v>0.58850000000000002</v>
      </c>
      <c r="C16" s="57">
        <v>0.41149999999999998</v>
      </c>
      <c r="D16" s="57">
        <v>0.41149999999999998</v>
      </c>
      <c r="E16" s="57">
        <v>0.21970000000000001</v>
      </c>
      <c r="F16" s="57">
        <v>0.4118</v>
      </c>
      <c r="G16" s="57">
        <v>0.625</v>
      </c>
      <c r="H16" s="57">
        <v>0.79430000000000001</v>
      </c>
      <c r="I16" s="57">
        <v>0.89470000000000005</v>
      </c>
      <c r="J16" s="57">
        <v>0.91180000000000005</v>
      </c>
      <c r="K16" s="57">
        <v>0.2979</v>
      </c>
      <c r="L16" s="57">
        <v>0.56820000000000004</v>
      </c>
      <c r="M16" s="57">
        <f t="shared" si="0"/>
        <v>1.6307475954297772</v>
      </c>
      <c r="N16" s="57">
        <f t="shared" si="1"/>
        <v>0.30737234748753833</v>
      </c>
      <c r="O16" s="57">
        <f t="shared" si="2"/>
        <v>1.0231731622750864</v>
      </c>
      <c r="P16" s="56" t="str">
        <f t="shared" si="3"/>
        <v>C2</v>
      </c>
      <c r="Q16" s="51"/>
      <c r="R16" s="51" t="s">
        <v>1639</v>
      </c>
      <c r="S16" s="51"/>
      <c r="T16" s="51"/>
      <c r="U16" s="51"/>
    </row>
    <row r="17" spans="1:21" x14ac:dyDescent="0.25">
      <c r="A17" s="54" t="s">
        <v>1568</v>
      </c>
      <c r="B17" s="57">
        <v>0.36259999999999998</v>
      </c>
      <c r="C17" s="57">
        <v>0.63739999999999997</v>
      </c>
      <c r="D17" s="57">
        <v>0.63739999999999997</v>
      </c>
      <c r="E17" s="57">
        <v>0.12479999999999999</v>
      </c>
      <c r="F17" s="57">
        <v>0.52939999999999998</v>
      </c>
      <c r="G17" s="57">
        <v>0.41670000000000001</v>
      </c>
      <c r="H17" s="57">
        <v>0.68420000000000003</v>
      </c>
      <c r="I17" s="57">
        <v>0.68420000000000003</v>
      </c>
      <c r="J17" s="57">
        <v>0.85289999999999999</v>
      </c>
      <c r="K17" s="57">
        <v>0.12770000000000001</v>
      </c>
      <c r="L17" s="57">
        <v>0.4773</v>
      </c>
      <c r="M17" s="57">
        <f t="shared" si="0"/>
        <v>1.6894202289543001</v>
      </c>
      <c r="N17" s="57">
        <f t="shared" si="1"/>
        <v>0.4478871398019818</v>
      </c>
      <c r="O17" s="57">
        <f t="shared" si="2"/>
        <v>0.92912574498826583</v>
      </c>
      <c r="P17" s="56" t="str">
        <f t="shared" si="3"/>
        <v>C2</v>
      </c>
      <c r="Q17" s="51"/>
      <c r="R17" s="51"/>
      <c r="S17" s="51"/>
      <c r="T17" s="51"/>
      <c r="U17" s="51"/>
    </row>
    <row r="18" spans="1:21" x14ac:dyDescent="0.25">
      <c r="A18" s="54" t="s">
        <v>1569</v>
      </c>
      <c r="B18" s="57">
        <v>0.45629999999999998</v>
      </c>
      <c r="C18" s="57">
        <v>0.54369999999999996</v>
      </c>
      <c r="D18" s="57">
        <v>0.54369999999999996</v>
      </c>
      <c r="E18" s="57">
        <v>0.2626</v>
      </c>
      <c r="F18" s="57">
        <v>0.23530000000000001</v>
      </c>
      <c r="G18" s="57">
        <v>0.45829999999999999</v>
      </c>
      <c r="H18" s="57">
        <v>0.58850000000000002</v>
      </c>
      <c r="I18" s="57">
        <v>0.57889999999999997</v>
      </c>
      <c r="J18" s="57">
        <v>0.72689999999999999</v>
      </c>
      <c r="K18" s="57">
        <v>0.38300000000000001</v>
      </c>
      <c r="L18" s="57">
        <v>0.43180000000000002</v>
      </c>
      <c r="M18" s="57">
        <f t="shared" si="0"/>
        <v>1.4235513232757013</v>
      </c>
      <c r="N18" s="57">
        <f t="shared" si="1"/>
        <v>0.35859103446684221</v>
      </c>
      <c r="O18" s="57">
        <f t="shared" si="2"/>
        <v>1.1964787795861656</v>
      </c>
      <c r="P18" s="56" t="str">
        <f t="shared" si="3"/>
        <v>C2</v>
      </c>
      <c r="Q18" s="51"/>
      <c r="R18" s="51"/>
      <c r="S18" s="51"/>
      <c r="T18" s="51"/>
      <c r="U18" s="51"/>
    </row>
    <row r="19" spans="1:21" x14ac:dyDescent="0.25">
      <c r="A19" s="54" t="s">
        <v>1570</v>
      </c>
      <c r="B19" s="57">
        <v>1</v>
      </c>
      <c r="C19" s="57">
        <v>0</v>
      </c>
      <c r="D19" s="57">
        <v>0</v>
      </c>
      <c r="E19" s="57">
        <v>0.59219999999999995</v>
      </c>
      <c r="F19" s="57">
        <v>0</v>
      </c>
      <c r="G19" s="57">
        <v>0</v>
      </c>
      <c r="H19" s="57">
        <v>0</v>
      </c>
      <c r="I19" s="57">
        <v>0</v>
      </c>
      <c r="J19" s="57">
        <v>0.9748</v>
      </c>
      <c r="K19" s="57">
        <v>0.23400000000000001</v>
      </c>
      <c r="L19" s="57">
        <v>0.45450000000000002</v>
      </c>
      <c r="M19" s="57">
        <f t="shared" si="0"/>
        <v>0</v>
      </c>
      <c r="N19" s="57">
        <f t="shared" si="1"/>
        <v>1.5093178856688871</v>
      </c>
      <c r="O19" s="57">
        <f t="shared" si="2"/>
        <v>2.456102672935315</v>
      </c>
      <c r="P19" s="56" t="str">
        <f t="shared" si="3"/>
        <v>C1</v>
      </c>
      <c r="Q19" s="51"/>
      <c r="R19" s="51"/>
      <c r="S19" s="51"/>
      <c r="T19" s="51"/>
      <c r="U19" s="51"/>
    </row>
    <row r="20" spans="1:21" x14ac:dyDescent="0.25">
      <c r="A20" s="54" t="s">
        <v>1571</v>
      </c>
      <c r="B20" s="57">
        <v>0.32350000000000001</v>
      </c>
      <c r="C20" s="57">
        <v>0.67649999999999999</v>
      </c>
      <c r="D20" s="57">
        <v>0.67649999999999999</v>
      </c>
      <c r="E20" s="57">
        <v>1</v>
      </c>
      <c r="F20" s="57">
        <v>0.29409999999999997</v>
      </c>
      <c r="G20" s="57">
        <v>0.33329999999999999</v>
      </c>
      <c r="H20" s="57">
        <v>0.60770000000000002</v>
      </c>
      <c r="I20" s="57">
        <v>0.84209999999999996</v>
      </c>
      <c r="J20" s="57">
        <v>0.82350000000000001</v>
      </c>
      <c r="K20" s="57">
        <v>0.2979</v>
      </c>
      <c r="L20" s="57">
        <v>0.52270000000000005</v>
      </c>
      <c r="M20" s="57">
        <f t="shared" si="0"/>
        <v>1.6872756532351196</v>
      </c>
      <c r="N20" s="57">
        <f t="shared" si="1"/>
        <v>0.87950123933966129</v>
      </c>
      <c r="O20" s="57">
        <f t="shared" si="2"/>
        <v>1.4039520112881352</v>
      </c>
      <c r="P20" s="56" t="str">
        <f t="shared" si="3"/>
        <v>C2</v>
      </c>
      <c r="Q20" s="51"/>
      <c r="R20" s="51"/>
      <c r="S20" s="51"/>
      <c r="T20" s="51"/>
      <c r="U20" s="51"/>
    </row>
    <row r="21" spans="1:21" x14ac:dyDescent="0.25">
      <c r="A21" s="54" t="s">
        <v>1572</v>
      </c>
      <c r="B21" s="57">
        <v>0.60099999999999998</v>
      </c>
      <c r="C21" s="57">
        <v>0.39900000000000002</v>
      </c>
      <c r="D21" s="57">
        <v>0.39900000000000002</v>
      </c>
      <c r="E21" s="57">
        <v>0.28310000000000002</v>
      </c>
      <c r="F21" s="57">
        <v>0.4118</v>
      </c>
      <c r="G21" s="57">
        <v>0.58330000000000004</v>
      </c>
      <c r="H21" s="57">
        <v>0.68899999999999995</v>
      </c>
      <c r="I21" s="57">
        <v>0.78949999999999998</v>
      </c>
      <c r="J21" s="57">
        <v>0.92859999999999998</v>
      </c>
      <c r="K21" s="57">
        <v>0.44679999999999997</v>
      </c>
      <c r="L21" s="57">
        <v>0.43180000000000002</v>
      </c>
      <c r="M21" s="57">
        <f t="shared" si="0"/>
        <v>1.4929597315400038</v>
      </c>
      <c r="N21" s="57">
        <f t="shared" si="1"/>
        <v>0.24980712559893076</v>
      </c>
      <c r="O21" s="57">
        <f t="shared" si="2"/>
        <v>1.1661587713514827</v>
      </c>
      <c r="P21" s="56" t="str">
        <f t="shared" si="3"/>
        <v>C2</v>
      </c>
      <c r="Q21" s="51"/>
      <c r="R21" s="51"/>
      <c r="S21" s="51"/>
      <c r="T21" s="51"/>
      <c r="U21" s="51"/>
    </row>
    <row r="22" spans="1:21" x14ac:dyDescent="0.25">
      <c r="A22" s="54" t="s">
        <v>1573</v>
      </c>
      <c r="B22" s="57">
        <v>0.72309999999999997</v>
      </c>
      <c r="C22" s="57">
        <v>0.27689999999999998</v>
      </c>
      <c r="D22" s="57">
        <v>0.27689999999999998</v>
      </c>
      <c r="E22" s="57">
        <v>0.37430000000000002</v>
      </c>
      <c r="F22" s="57">
        <v>0</v>
      </c>
      <c r="G22" s="57">
        <v>0.45829999999999999</v>
      </c>
      <c r="H22" s="57">
        <v>0.45450000000000002</v>
      </c>
      <c r="I22" s="57">
        <v>0.26319999999999999</v>
      </c>
      <c r="J22" s="57">
        <v>0.89500000000000002</v>
      </c>
      <c r="K22" s="57">
        <v>8.5099999999999995E-2</v>
      </c>
      <c r="L22" s="57">
        <v>0.61360000000000003</v>
      </c>
      <c r="M22" s="57">
        <f t="shared" si="0"/>
        <v>0.90401143798073702</v>
      </c>
      <c r="N22" s="57">
        <f t="shared" si="1"/>
        <v>0.82941334689043922</v>
      </c>
      <c r="O22" s="57">
        <f t="shared" si="2"/>
        <v>1.6717424562413914</v>
      </c>
      <c r="P22" s="56" t="str">
        <f t="shared" si="3"/>
        <v>C2</v>
      </c>
      <c r="Q22" s="51"/>
      <c r="R22" s="51"/>
      <c r="S22" s="51"/>
      <c r="T22" s="51"/>
      <c r="U22" s="51"/>
    </row>
    <row r="23" spans="1:21" x14ac:dyDescent="0.25">
      <c r="A23" s="54" t="s">
        <v>1574</v>
      </c>
      <c r="B23" s="57">
        <v>0.59350000000000003</v>
      </c>
      <c r="C23" s="57">
        <v>0.40649999999999997</v>
      </c>
      <c r="D23" s="57">
        <v>0.40649999999999997</v>
      </c>
      <c r="E23" s="57">
        <v>0.22720000000000001</v>
      </c>
      <c r="F23" s="57">
        <v>0.29409999999999997</v>
      </c>
      <c r="G23" s="57">
        <v>0.45829999999999999</v>
      </c>
      <c r="H23" s="57">
        <v>0.65069999999999995</v>
      </c>
      <c r="I23" s="57">
        <v>0.52629999999999999</v>
      </c>
      <c r="J23" s="57">
        <v>0.5504</v>
      </c>
      <c r="K23" s="57">
        <v>0.59570000000000001</v>
      </c>
      <c r="L23" s="57">
        <v>0.54549999999999998</v>
      </c>
      <c r="M23" s="57">
        <f t="shared" si="0"/>
        <v>1.3946723199375544</v>
      </c>
      <c r="N23" s="57">
        <f t="shared" si="1"/>
        <v>0.48244630789342774</v>
      </c>
      <c r="O23" s="57">
        <f t="shared" si="2"/>
        <v>1.3035230953074826</v>
      </c>
      <c r="P23" s="56" t="str">
        <f t="shared" si="3"/>
        <v>C2</v>
      </c>
      <c r="Q23" s="51"/>
      <c r="R23" s="51"/>
      <c r="S23" s="51"/>
      <c r="T23" s="51"/>
      <c r="U23" s="51"/>
    </row>
    <row r="24" spans="1:21" x14ac:dyDescent="0.25">
      <c r="A24" s="54" t="s">
        <v>1575</v>
      </c>
      <c r="B24" s="57">
        <v>0.2152</v>
      </c>
      <c r="C24" s="57">
        <v>0.78480000000000005</v>
      </c>
      <c r="D24" s="57">
        <v>0.78480000000000005</v>
      </c>
      <c r="E24" s="57">
        <v>0.18060000000000001</v>
      </c>
      <c r="F24" s="57">
        <v>0.47060000000000002</v>
      </c>
      <c r="G24" s="57">
        <v>0.54169999999999996</v>
      </c>
      <c r="H24" s="57">
        <v>0.53590000000000004</v>
      </c>
      <c r="I24" s="57">
        <v>0.52629999999999999</v>
      </c>
      <c r="J24" s="57">
        <v>0</v>
      </c>
      <c r="K24" s="57">
        <v>0.42549999999999999</v>
      </c>
      <c r="L24" s="57">
        <v>0.4773</v>
      </c>
      <c r="M24" s="57">
        <f t="shared" si="0"/>
        <v>2.0208064132914858</v>
      </c>
      <c r="N24" s="57">
        <f t="shared" si="1"/>
        <v>0.9975595621315051</v>
      </c>
      <c r="O24" s="57">
        <f t="shared" si="2"/>
        <v>1.2269882477024789</v>
      </c>
      <c r="P24" s="56" t="str">
        <f t="shared" si="3"/>
        <v>C2</v>
      </c>
      <c r="Q24" s="51"/>
      <c r="R24" s="51"/>
      <c r="S24" s="51"/>
      <c r="T24" s="51"/>
      <c r="U24" s="51"/>
    </row>
    <row r="25" spans="1:21" x14ac:dyDescent="0.25">
      <c r="A25" s="54" t="s">
        <v>1576</v>
      </c>
      <c r="B25" s="57">
        <v>0.48170000000000002</v>
      </c>
      <c r="C25" s="57">
        <v>0.51829999999999998</v>
      </c>
      <c r="D25" s="57">
        <v>0.51829999999999998</v>
      </c>
      <c r="E25" s="57">
        <v>0.29609999999999997</v>
      </c>
      <c r="F25" s="57">
        <v>0.35289999999999999</v>
      </c>
      <c r="G25" s="57">
        <v>0.375</v>
      </c>
      <c r="H25" s="57">
        <v>0.57889999999999997</v>
      </c>
      <c r="I25" s="57">
        <v>0.68420000000000003</v>
      </c>
      <c r="J25" s="57">
        <v>0.83189999999999997</v>
      </c>
      <c r="K25" s="57">
        <v>1</v>
      </c>
      <c r="L25" s="57">
        <v>0.54549999999999998</v>
      </c>
      <c r="M25" s="57">
        <f t="shared" si="0"/>
        <v>1.6054455923512327</v>
      </c>
      <c r="N25" s="57">
        <f t="shared" si="1"/>
        <v>0.73882029614785216</v>
      </c>
      <c r="O25" s="57">
        <f t="shared" si="2"/>
        <v>1.3697074103617897</v>
      </c>
      <c r="P25" s="56" t="str">
        <f t="shared" si="3"/>
        <v>C2</v>
      </c>
      <c r="Q25" s="51"/>
      <c r="R25" s="51"/>
      <c r="S25" s="51"/>
      <c r="T25" s="51"/>
      <c r="U25" s="51"/>
    </row>
    <row r="26" spans="1:21" x14ac:dyDescent="0.25">
      <c r="A26" s="54" t="s">
        <v>1577</v>
      </c>
      <c r="B26" s="57">
        <v>0.52910000000000001</v>
      </c>
      <c r="C26" s="57">
        <v>0.47089999999999999</v>
      </c>
      <c r="D26" s="57">
        <v>0.47089999999999999</v>
      </c>
      <c r="E26" s="57">
        <v>0.21970000000000001</v>
      </c>
      <c r="F26" s="57">
        <v>0.47060000000000002</v>
      </c>
      <c r="G26" s="57">
        <v>0.83330000000000004</v>
      </c>
      <c r="H26" s="57">
        <v>0.92820000000000003</v>
      </c>
      <c r="I26" s="57">
        <v>0.89470000000000005</v>
      </c>
      <c r="J26" s="57">
        <v>0.65129999999999999</v>
      </c>
      <c r="K26" s="57">
        <v>0.78720000000000001</v>
      </c>
      <c r="L26" s="57">
        <v>0.59089999999999998</v>
      </c>
      <c r="M26" s="57">
        <f t="shared" si="0"/>
        <v>1.952224554194522</v>
      </c>
      <c r="N26" s="57">
        <f t="shared" si="1"/>
        <v>0.65295069492267188</v>
      </c>
      <c r="O26" s="57">
        <f t="shared" si="2"/>
        <v>1.0081937660985612</v>
      </c>
      <c r="P26" s="56" t="str">
        <f t="shared" si="3"/>
        <v>C2</v>
      </c>
      <c r="Q26" s="51"/>
      <c r="R26" s="51"/>
      <c r="S26" s="51"/>
      <c r="T26" s="51"/>
      <c r="U26" s="51"/>
    </row>
    <row r="27" spans="1:21" x14ac:dyDescent="0.25">
      <c r="A27" s="54" t="s">
        <v>1578</v>
      </c>
      <c r="B27" s="57">
        <v>0.47339999999999999</v>
      </c>
      <c r="C27" s="57">
        <v>0.52659999999999996</v>
      </c>
      <c r="D27" s="57">
        <v>0.52659999999999996</v>
      </c>
      <c r="E27" s="57">
        <v>0.19550000000000001</v>
      </c>
      <c r="F27" s="57">
        <v>0.47060000000000002</v>
      </c>
      <c r="G27" s="57">
        <v>0.79169999999999996</v>
      </c>
      <c r="H27" s="57">
        <v>0.79430000000000001</v>
      </c>
      <c r="I27" s="57">
        <v>0.68420000000000003</v>
      </c>
      <c r="J27" s="57">
        <v>0.44540000000000002</v>
      </c>
      <c r="K27" s="57">
        <v>0.8085</v>
      </c>
      <c r="L27" s="57">
        <v>0.18179999999999999</v>
      </c>
      <c r="M27" s="57">
        <f t="shared" si="0"/>
        <v>1.9029631762070436</v>
      </c>
      <c r="N27" s="57">
        <f t="shared" si="1"/>
        <v>0.72676953018133605</v>
      </c>
      <c r="O27" s="57">
        <f t="shared" si="2"/>
        <v>1.2442574371889443</v>
      </c>
      <c r="P27" s="56" t="str">
        <f t="shared" si="3"/>
        <v>C2</v>
      </c>
      <c r="Q27" s="51"/>
      <c r="R27" s="51"/>
      <c r="S27" s="51"/>
      <c r="T27" s="51"/>
      <c r="U27" s="51"/>
    </row>
    <row r="28" spans="1:21" x14ac:dyDescent="0.25">
      <c r="A28" s="54" t="s">
        <v>1579</v>
      </c>
      <c r="B28" s="57">
        <v>0.73040000000000005</v>
      </c>
      <c r="C28" s="57">
        <v>0.26960000000000001</v>
      </c>
      <c r="D28" s="57">
        <v>0.26960000000000001</v>
      </c>
      <c r="E28" s="57">
        <v>0.35199999999999998</v>
      </c>
      <c r="F28" s="57">
        <v>0</v>
      </c>
      <c r="G28" s="57">
        <v>0.66669999999999996</v>
      </c>
      <c r="H28" s="57">
        <v>0.52629999999999999</v>
      </c>
      <c r="I28" s="57">
        <v>0.42109999999999997</v>
      </c>
      <c r="J28" s="57">
        <v>0.65129999999999999</v>
      </c>
      <c r="K28" s="57">
        <v>0.38300000000000001</v>
      </c>
      <c r="L28" s="57">
        <v>0.34089999999999998</v>
      </c>
      <c r="M28" s="57">
        <f t="shared" si="0"/>
        <v>1.1464346994050729</v>
      </c>
      <c r="N28" s="57">
        <f t="shared" si="1"/>
        <v>0.69858084714655622</v>
      </c>
      <c r="O28" s="57">
        <f t="shared" si="2"/>
        <v>1.6265053396776785</v>
      </c>
      <c r="P28" s="56" t="str">
        <f t="shared" si="3"/>
        <v>C2</v>
      </c>
      <c r="Q28" s="51"/>
      <c r="R28" s="51"/>
      <c r="S28" s="51"/>
      <c r="T28" s="51"/>
      <c r="U28" s="51"/>
    </row>
    <row r="29" spans="1:21" x14ac:dyDescent="0.25">
      <c r="A29" s="54" t="s">
        <v>1580</v>
      </c>
      <c r="B29" s="57">
        <v>0.1996</v>
      </c>
      <c r="C29" s="57">
        <v>0.8004</v>
      </c>
      <c r="D29" s="57">
        <v>0.8004</v>
      </c>
      <c r="E29" s="57">
        <v>0.1024</v>
      </c>
      <c r="F29" s="57">
        <v>0.70589999999999997</v>
      </c>
      <c r="G29" s="57">
        <v>0.875</v>
      </c>
      <c r="H29" s="57">
        <v>0.88039999999999996</v>
      </c>
      <c r="I29" s="57">
        <v>0.89470000000000005</v>
      </c>
      <c r="J29" s="57">
        <v>0.68069999999999997</v>
      </c>
      <c r="K29" s="57">
        <v>0.46810000000000002</v>
      </c>
      <c r="L29" s="57">
        <v>0.2273</v>
      </c>
      <c r="M29" s="57">
        <f t="shared" si="0"/>
        <v>2.2790906168908687</v>
      </c>
      <c r="N29" s="57">
        <f t="shared" si="1"/>
        <v>0.83925962609909932</v>
      </c>
      <c r="O29" s="57">
        <f t="shared" si="2"/>
        <v>0.77373328738008929</v>
      </c>
      <c r="P29" s="56" t="str">
        <f t="shared" si="3"/>
        <v>C3</v>
      </c>
      <c r="Q29" s="51"/>
      <c r="R29" s="51"/>
      <c r="S29" s="51"/>
      <c r="T29" s="51"/>
      <c r="U29" s="51"/>
    </row>
    <row r="30" spans="1:21" x14ac:dyDescent="0.25">
      <c r="A30" s="54" t="s">
        <v>1581</v>
      </c>
      <c r="B30" s="57">
        <v>0.22650000000000001</v>
      </c>
      <c r="C30" s="57">
        <v>0.77349999999999997</v>
      </c>
      <c r="D30" s="57">
        <v>0.77349999999999997</v>
      </c>
      <c r="E30" s="57">
        <v>6.5199999999999994E-2</v>
      </c>
      <c r="F30" s="57">
        <v>0.64710000000000001</v>
      </c>
      <c r="G30" s="57">
        <v>0.83330000000000004</v>
      </c>
      <c r="H30" s="57">
        <v>0.90910000000000002</v>
      </c>
      <c r="I30" s="57">
        <v>0.68420000000000003</v>
      </c>
      <c r="J30" s="57">
        <v>0.65549999999999997</v>
      </c>
      <c r="K30" s="57">
        <v>0.42549999999999999</v>
      </c>
      <c r="L30" s="57">
        <v>0.11360000000000001</v>
      </c>
      <c r="M30" s="57">
        <f t="shared" si="0"/>
        <v>2.1760498730497884</v>
      </c>
      <c r="N30" s="57">
        <f t="shared" si="1"/>
        <v>0.82223531303392705</v>
      </c>
      <c r="O30" s="57">
        <f t="shared" si="2"/>
        <v>0.91117544413795515</v>
      </c>
      <c r="P30" s="56" t="str">
        <f t="shared" si="3"/>
        <v>C2</v>
      </c>
      <c r="Q30" s="51"/>
      <c r="R30" s="51"/>
      <c r="S30" s="51"/>
      <c r="T30" s="51"/>
      <c r="U30" s="51"/>
    </row>
    <row r="31" spans="1:21" x14ac:dyDescent="0.25">
      <c r="A31" s="54" t="s">
        <v>1582</v>
      </c>
      <c r="B31" s="57">
        <v>0.74770000000000003</v>
      </c>
      <c r="C31" s="57">
        <v>0.25230000000000002</v>
      </c>
      <c r="D31" s="57">
        <v>0.25230000000000002</v>
      </c>
      <c r="E31" s="57">
        <v>0.32590000000000002</v>
      </c>
      <c r="F31" s="57">
        <v>0.4118</v>
      </c>
      <c r="G31" s="57">
        <v>0.625</v>
      </c>
      <c r="H31" s="57">
        <v>0.75119999999999998</v>
      </c>
      <c r="I31" s="57">
        <v>0.89470000000000005</v>
      </c>
      <c r="J31" s="57">
        <v>0.78990000000000005</v>
      </c>
      <c r="K31" s="57">
        <v>8.5099999999999995E-2</v>
      </c>
      <c r="L31" s="57">
        <v>0.15909999999999999</v>
      </c>
      <c r="M31" s="57">
        <f t="shared" si="0"/>
        <v>1.526596118821216</v>
      </c>
      <c r="N31" s="57">
        <f t="shared" si="1"/>
        <v>0.5738799613159532</v>
      </c>
      <c r="O31" s="57">
        <f t="shared" si="2"/>
        <v>1.4358607627482547</v>
      </c>
      <c r="P31" s="56" t="str">
        <f t="shared" si="3"/>
        <v>C2</v>
      </c>
      <c r="Q31" s="51"/>
      <c r="R31" s="51"/>
      <c r="S31" s="51"/>
      <c r="T31" s="51"/>
      <c r="U31" s="51"/>
    </row>
    <row r="32" spans="1:21" x14ac:dyDescent="0.25">
      <c r="A32" s="54" t="s">
        <v>1583</v>
      </c>
      <c r="B32" s="57">
        <v>0.54239999999999999</v>
      </c>
      <c r="C32" s="57">
        <v>0.45760000000000001</v>
      </c>
      <c r="D32" s="57">
        <v>0.45760000000000001</v>
      </c>
      <c r="E32" s="57">
        <v>0.27929999999999999</v>
      </c>
      <c r="F32" s="57">
        <v>0.47060000000000002</v>
      </c>
      <c r="G32" s="57">
        <v>0.58330000000000004</v>
      </c>
      <c r="H32" s="57">
        <v>0.63160000000000005</v>
      </c>
      <c r="I32" s="57">
        <v>0.73680000000000001</v>
      </c>
      <c r="J32" s="57">
        <v>0.77310000000000001</v>
      </c>
      <c r="K32" s="57">
        <v>0.31909999999999999</v>
      </c>
      <c r="L32" s="57">
        <v>0.4773</v>
      </c>
      <c r="M32" s="57">
        <f t="shared" si="0"/>
        <v>1.5093178856688871</v>
      </c>
      <c r="N32" s="57">
        <f t="shared" si="1"/>
        <v>0</v>
      </c>
      <c r="O32" s="57">
        <f t="shared" si="2"/>
        <v>1.0560262023264384</v>
      </c>
      <c r="P32" s="56" t="str">
        <f t="shared" si="3"/>
        <v>C2</v>
      </c>
      <c r="Q32" s="51"/>
      <c r="R32" s="51"/>
      <c r="S32" s="51"/>
      <c r="T32" s="51"/>
      <c r="U32" s="51"/>
    </row>
    <row r="33" spans="1:21" x14ac:dyDescent="0.25">
      <c r="A33" s="54" t="s">
        <v>1584</v>
      </c>
      <c r="B33" s="57">
        <v>0.22889999999999999</v>
      </c>
      <c r="C33" s="57">
        <v>0.77110000000000001</v>
      </c>
      <c r="D33" s="57">
        <v>0.77110000000000001</v>
      </c>
      <c r="E33" s="57">
        <v>0.1024</v>
      </c>
      <c r="F33" s="57">
        <v>0.70589999999999997</v>
      </c>
      <c r="G33" s="57">
        <v>0.83330000000000004</v>
      </c>
      <c r="H33" s="57">
        <v>0.88039999999999996</v>
      </c>
      <c r="I33" s="57">
        <v>0.78949999999999998</v>
      </c>
      <c r="J33" s="57">
        <v>0.5504</v>
      </c>
      <c r="K33" s="57">
        <v>0.82979999999999998</v>
      </c>
      <c r="L33" s="57">
        <v>0.36359999999999998</v>
      </c>
      <c r="M33" s="57">
        <f t="shared" si="0"/>
        <v>2.2711546820945507</v>
      </c>
      <c r="N33" s="57">
        <f t="shared" si="1"/>
        <v>0.91215275584739641</v>
      </c>
      <c r="O33" s="57">
        <f t="shared" si="2"/>
        <v>0.89252473915292685</v>
      </c>
      <c r="P33" s="56" t="str">
        <f t="shared" si="3"/>
        <v>C3</v>
      </c>
      <c r="Q33" s="51"/>
      <c r="R33" s="51"/>
      <c r="S33" s="51"/>
      <c r="T33" s="51"/>
      <c r="U33" s="51"/>
    </row>
    <row r="34" spans="1:21" x14ac:dyDescent="0.25">
      <c r="A34" s="54" t="s">
        <v>1585</v>
      </c>
      <c r="B34" s="57">
        <v>0.55969999999999998</v>
      </c>
      <c r="C34" s="57">
        <v>0.44030000000000002</v>
      </c>
      <c r="D34" s="57">
        <v>0.44030000000000002</v>
      </c>
      <c r="E34" s="57">
        <v>0.22720000000000001</v>
      </c>
      <c r="F34" s="57">
        <v>0.4118</v>
      </c>
      <c r="G34" s="57">
        <v>0.75</v>
      </c>
      <c r="H34" s="57">
        <v>0.72250000000000003</v>
      </c>
      <c r="I34" s="57">
        <v>0.73680000000000001</v>
      </c>
      <c r="J34" s="57">
        <v>0.74790000000000001</v>
      </c>
      <c r="K34" s="57">
        <v>0.44679999999999997</v>
      </c>
      <c r="L34" s="57">
        <v>0.15909999999999999</v>
      </c>
      <c r="M34" s="57">
        <f t="shared" si="0"/>
        <v>1.6418908642172294</v>
      </c>
      <c r="N34" s="57">
        <f t="shared" si="1"/>
        <v>0.40164037396656227</v>
      </c>
      <c r="O34" s="57">
        <f t="shared" si="2"/>
        <v>1.2067221842661218</v>
      </c>
      <c r="P34" s="56" t="str">
        <f t="shared" si="3"/>
        <v>C2</v>
      </c>
      <c r="Q34" s="51"/>
      <c r="R34" s="51"/>
      <c r="S34" s="51"/>
      <c r="T34" s="51"/>
      <c r="U34" s="51"/>
    </row>
    <row r="35" spans="1:21" x14ac:dyDescent="0.25">
      <c r="A35" s="54" t="s">
        <v>1586</v>
      </c>
      <c r="B35" s="57">
        <v>0.55520000000000003</v>
      </c>
      <c r="C35" s="57">
        <v>0.44479999999999997</v>
      </c>
      <c r="D35" s="57">
        <v>0.44479999999999997</v>
      </c>
      <c r="E35" s="57">
        <v>0.43020000000000003</v>
      </c>
      <c r="F35" s="57">
        <v>0.35289999999999999</v>
      </c>
      <c r="G35" s="57">
        <v>0.70830000000000004</v>
      </c>
      <c r="H35" s="57">
        <v>0.57889999999999997</v>
      </c>
      <c r="I35" s="57">
        <v>0.73680000000000001</v>
      </c>
      <c r="J35" s="57">
        <v>0.68489999999999995</v>
      </c>
      <c r="K35" s="57">
        <v>0.12770000000000001</v>
      </c>
      <c r="L35" s="57">
        <v>9.0899999999999995E-2</v>
      </c>
      <c r="M35" s="57">
        <f t="shared" si="0"/>
        <v>1.5334792238566521</v>
      </c>
      <c r="N35" s="57">
        <f t="shared" si="1"/>
        <v>0.49923548551760621</v>
      </c>
      <c r="O35" s="57">
        <f t="shared" si="2"/>
        <v>1.3449647839255865</v>
      </c>
      <c r="P35" s="56" t="str">
        <f t="shared" si="3"/>
        <v>C2</v>
      </c>
      <c r="Q35" s="51"/>
      <c r="R35" s="51"/>
      <c r="S35" s="51"/>
      <c r="T35" s="51"/>
      <c r="U35" s="51"/>
    </row>
    <row r="36" spans="1:21" x14ac:dyDescent="0.25">
      <c r="A36" s="54" t="s">
        <v>1587</v>
      </c>
      <c r="B36" s="57">
        <v>0</v>
      </c>
      <c r="C36" s="57">
        <v>1</v>
      </c>
      <c r="D36" s="57">
        <v>1</v>
      </c>
      <c r="E36" s="57">
        <v>0</v>
      </c>
      <c r="F36" s="57">
        <v>0.64710000000000001</v>
      </c>
      <c r="G36" s="57">
        <v>0.91669999999999996</v>
      </c>
      <c r="H36" s="57">
        <v>0.97130000000000005</v>
      </c>
      <c r="I36" s="57">
        <v>0.94740000000000002</v>
      </c>
      <c r="J36" s="57">
        <v>0.73950000000000005</v>
      </c>
      <c r="K36" s="57">
        <v>0.40429999999999999</v>
      </c>
      <c r="L36" s="57">
        <v>0.18179999999999999</v>
      </c>
      <c r="M36" s="57">
        <f t="shared" si="0"/>
        <v>2.5708951865060543</v>
      </c>
      <c r="N36" s="57">
        <f t="shared" si="1"/>
        <v>1.1654897168143525</v>
      </c>
      <c r="O36" s="57">
        <f t="shared" si="2"/>
        <v>0.84198977428470001</v>
      </c>
      <c r="P36" s="56" t="str">
        <f t="shared" si="3"/>
        <v>C3</v>
      </c>
      <c r="Q36" s="51"/>
      <c r="R36" s="51"/>
      <c r="S36" s="51"/>
      <c r="T36" s="51"/>
      <c r="U36" s="51"/>
    </row>
    <row r="37" spans="1:21" x14ac:dyDescent="0.25">
      <c r="A37" s="54" t="s">
        <v>1588</v>
      </c>
      <c r="B37" s="57">
        <v>0.17760000000000001</v>
      </c>
      <c r="C37" s="57">
        <v>0.82240000000000002</v>
      </c>
      <c r="D37" s="57">
        <v>0.82240000000000002</v>
      </c>
      <c r="E37" s="57">
        <v>7.4499999999999997E-2</v>
      </c>
      <c r="F37" s="57">
        <v>0.94120000000000004</v>
      </c>
      <c r="G37" s="57">
        <v>0.95830000000000004</v>
      </c>
      <c r="H37" s="57">
        <v>0.9617</v>
      </c>
      <c r="I37" s="57">
        <v>0.84209999999999996</v>
      </c>
      <c r="J37" s="57">
        <v>0.80669999999999997</v>
      </c>
      <c r="K37" s="57">
        <v>0.10639999999999999</v>
      </c>
      <c r="L37" s="57">
        <v>0.4773</v>
      </c>
      <c r="M37" s="57">
        <f t="shared" si="0"/>
        <v>2.4042240764953666</v>
      </c>
      <c r="N37" s="57">
        <f t="shared" si="1"/>
        <v>0.98473035395482744</v>
      </c>
      <c r="O37" s="57">
        <f t="shared" si="2"/>
        <v>0.49213123249799945</v>
      </c>
      <c r="P37" s="56" t="str">
        <f t="shared" si="3"/>
        <v>C3</v>
      </c>
      <c r="Q37" s="51"/>
      <c r="R37" s="51"/>
      <c r="S37" s="51"/>
      <c r="T37" s="51"/>
      <c r="U37" s="51"/>
    </row>
    <row r="38" spans="1:21" x14ac:dyDescent="0.25">
      <c r="A38" s="54" t="s">
        <v>1589</v>
      </c>
      <c r="B38" s="57">
        <v>2.98E-2</v>
      </c>
      <c r="C38" s="57">
        <v>0.97019999999999995</v>
      </c>
      <c r="D38" s="57">
        <v>0.97019999999999995</v>
      </c>
      <c r="E38" s="57">
        <v>2.4199999999999999E-2</v>
      </c>
      <c r="F38" s="57">
        <v>0.88239999999999996</v>
      </c>
      <c r="G38" s="57">
        <v>1</v>
      </c>
      <c r="H38" s="57">
        <v>1</v>
      </c>
      <c r="I38" s="57">
        <v>1</v>
      </c>
      <c r="J38" s="57">
        <v>0.49159999999999998</v>
      </c>
      <c r="K38" s="57">
        <v>0.61699999999999999</v>
      </c>
      <c r="L38" s="57">
        <v>0.4773</v>
      </c>
      <c r="M38" s="57">
        <f t="shared" si="0"/>
        <v>2.7029259997269626</v>
      </c>
      <c r="N38" s="57">
        <f t="shared" si="1"/>
        <v>1.2528167783039943</v>
      </c>
      <c r="O38" s="57">
        <f t="shared" si="2"/>
        <v>0.70987904603530871</v>
      </c>
      <c r="P38" s="56" t="str">
        <f t="shared" si="3"/>
        <v>C3</v>
      </c>
      <c r="Q38" s="51"/>
      <c r="R38" s="51"/>
      <c r="S38" s="51"/>
      <c r="T38" s="51"/>
      <c r="U38" s="51"/>
    </row>
    <row r="39" spans="1:21" x14ac:dyDescent="0.25">
      <c r="A39" s="54" t="s">
        <v>1590</v>
      </c>
      <c r="B39" s="57">
        <v>0.2954</v>
      </c>
      <c r="C39" s="57">
        <v>0.7046</v>
      </c>
      <c r="D39" s="57">
        <v>0.7046</v>
      </c>
      <c r="E39" s="57">
        <v>0.1173</v>
      </c>
      <c r="F39" s="57">
        <v>1</v>
      </c>
      <c r="G39" s="57">
        <v>0.75</v>
      </c>
      <c r="H39" s="57">
        <v>0.80859999999999999</v>
      </c>
      <c r="I39" s="57">
        <v>0.84209999999999996</v>
      </c>
      <c r="J39" s="57">
        <v>0.90339999999999998</v>
      </c>
      <c r="K39" s="57">
        <v>0.1915</v>
      </c>
      <c r="L39" s="57">
        <v>0.20449999999999999</v>
      </c>
      <c r="M39" s="57">
        <f t="shared" si="0"/>
        <v>2.1702036932048565</v>
      </c>
      <c r="N39" s="57">
        <f t="shared" si="1"/>
        <v>0.81695840163376732</v>
      </c>
      <c r="O39" s="57">
        <f t="shared" si="2"/>
        <v>0.84406402008378489</v>
      </c>
      <c r="P39" s="56" t="str">
        <f t="shared" si="3"/>
        <v>C2</v>
      </c>
      <c r="Q39" s="51"/>
      <c r="R39" s="51"/>
      <c r="S39" s="51"/>
      <c r="T39" s="51"/>
      <c r="U39" s="51"/>
    </row>
    <row r="40" spans="1:21" x14ac:dyDescent="0.25">
      <c r="A40" s="54" t="s">
        <v>1591</v>
      </c>
      <c r="B40" s="57">
        <v>0.52280000000000004</v>
      </c>
      <c r="C40" s="57">
        <v>0.47720000000000001</v>
      </c>
      <c r="D40" s="57">
        <v>0.47720000000000001</v>
      </c>
      <c r="E40" s="57">
        <v>0.21790000000000001</v>
      </c>
      <c r="F40" s="57">
        <v>0.4118</v>
      </c>
      <c r="G40" s="57">
        <v>0.625</v>
      </c>
      <c r="H40" s="57">
        <v>0.65549999999999997</v>
      </c>
      <c r="I40" s="57">
        <v>0.63160000000000005</v>
      </c>
      <c r="J40" s="57">
        <v>0.86550000000000005</v>
      </c>
      <c r="K40" s="57">
        <v>2.1299999999999999E-2</v>
      </c>
      <c r="L40" s="57">
        <v>0.40910000000000002</v>
      </c>
      <c r="M40" s="57">
        <f t="shared" si="0"/>
        <v>1.5070872569297373</v>
      </c>
      <c r="N40" s="57">
        <f t="shared" si="1"/>
        <v>0.35161180298732858</v>
      </c>
      <c r="O40" s="57">
        <f t="shared" si="2"/>
        <v>1.0967781452964862</v>
      </c>
      <c r="P40" s="56" t="str">
        <f t="shared" si="3"/>
        <v>C2</v>
      </c>
      <c r="Q40" s="51"/>
      <c r="R40" s="51"/>
      <c r="S40" s="51"/>
      <c r="T40" s="51"/>
      <c r="U40" s="51"/>
    </row>
    <row r="41" spans="1:21" x14ac:dyDescent="0.25">
      <c r="A41" s="54" t="s">
        <v>1592</v>
      </c>
      <c r="B41" s="57">
        <v>0.29060000000000002</v>
      </c>
      <c r="C41" s="57">
        <v>0.70940000000000003</v>
      </c>
      <c r="D41" s="57">
        <v>0.70940000000000003</v>
      </c>
      <c r="E41" s="57">
        <v>0.13780000000000001</v>
      </c>
      <c r="F41" s="57">
        <v>0.70589999999999997</v>
      </c>
      <c r="G41" s="57">
        <v>0.79169999999999996</v>
      </c>
      <c r="H41" s="57">
        <v>0.86599999999999999</v>
      </c>
      <c r="I41" s="57">
        <v>0.94740000000000002</v>
      </c>
      <c r="J41" s="57">
        <v>0.89500000000000002</v>
      </c>
      <c r="K41" s="57">
        <v>0.31909999999999999</v>
      </c>
      <c r="L41" s="57">
        <v>0.4773</v>
      </c>
      <c r="M41" s="57">
        <f t="shared" si="0"/>
        <v>2.1220180937023132</v>
      </c>
      <c r="N41" s="57">
        <f t="shared" si="1"/>
        <v>0.65052590263570598</v>
      </c>
      <c r="O41" s="57">
        <f t="shared" si="2"/>
        <v>0.58605085956766589</v>
      </c>
      <c r="P41" s="56" t="str">
        <f t="shared" si="3"/>
        <v>C3</v>
      </c>
      <c r="Q41" s="51"/>
      <c r="R41" s="51"/>
      <c r="S41" s="51"/>
      <c r="T41" s="51"/>
      <c r="U41" s="51"/>
    </row>
    <row r="42" spans="1:21" x14ac:dyDescent="0.25">
      <c r="A42" s="54" t="s">
        <v>1593</v>
      </c>
      <c r="B42" s="57">
        <v>0.59430000000000005</v>
      </c>
      <c r="C42" s="57">
        <v>0.40570000000000001</v>
      </c>
      <c r="D42" s="57">
        <v>0.40570000000000001</v>
      </c>
      <c r="E42" s="57">
        <v>0.18809999999999999</v>
      </c>
      <c r="F42" s="57">
        <v>0.52939999999999998</v>
      </c>
      <c r="G42" s="57">
        <v>0.625</v>
      </c>
      <c r="H42" s="57">
        <v>0.77510000000000001</v>
      </c>
      <c r="I42" s="57">
        <v>0.89470000000000005</v>
      </c>
      <c r="J42" s="57">
        <v>0.72270000000000001</v>
      </c>
      <c r="K42" s="57">
        <v>0.87229999999999996</v>
      </c>
      <c r="L42" s="57">
        <v>0.84089999999999998</v>
      </c>
      <c r="M42" s="57">
        <f t="shared" si="0"/>
        <v>1.8301688446698026</v>
      </c>
      <c r="N42" s="57">
        <f t="shared" si="1"/>
        <v>0.71266725756133897</v>
      </c>
      <c r="O42" s="57">
        <f t="shared" si="2"/>
        <v>1.1139349711720159</v>
      </c>
      <c r="P42" s="56" t="str">
        <f t="shared" si="3"/>
        <v>C2</v>
      </c>
      <c r="Q42" s="51"/>
      <c r="R42" s="51"/>
      <c r="S42" s="51"/>
      <c r="T42" s="51"/>
      <c r="U42" s="51"/>
    </row>
    <row r="43" spans="1:21" x14ac:dyDescent="0.25">
      <c r="A43" s="54" t="s">
        <v>1594</v>
      </c>
      <c r="B43" s="57">
        <v>0.31469999999999998</v>
      </c>
      <c r="C43" s="57">
        <v>0.68530000000000002</v>
      </c>
      <c r="D43" s="57">
        <v>0.68530000000000002</v>
      </c>
      <c r="E43" s="57">
        <v>0.8417</v>
      </c>
      <c r="F43" s="57">
        <v>0.58819999999999995</v>
      </c>
      <c r="G43" s="57">
        <v>0.66669999999999996</v>
      </c>
      <c r="H43" s="57">
        <v>0.77510000000000001</v>
      </c>
      <c r="I43" s="57">
        <v>1</v>
      </c>
      <c r="J43" s="57">
        <v>0.64290000000000003</v>
      </c>
      <c r="K43" s="57">
        <v>0.61699999999999999</v>
      </c>
      <c r="L43" s="57">
        <v>0.5</v>
      </c>
      <c r="M43" s="57">
        <f t="shared" si="0"/>
        <v>2.0301043125908578</v>
      </c>
      <c r="N43" s="57">
        <f t="shared" si="1"/>
        <v>0.8298790152787332</v>
      </c>
      <c r="O43" s="57">
        <f t="shared" si="2"/>
        <v>1.1158197076589031</v>
      </c>
      <c r="P43" s="56" t="str">
        <f t="shared" si="3"/>
        <v>C2</v>
      </c>
      <c r="Q43" s="51"/>
      <c r="R43" s="51"/>
      <c r="S43" s="51"/>
      <c r="T43" s="51"/>
      <c r="U43" s="51"/>
    </row>
    <row r="44" spans="1:21" x14ac:dyDescent="0.25">
      <c r="A44" s="54" t="s">
        <v>1595</v>
      </c>
      <c r="B44" s="57">
        <v>0.18429999999999999</v>
      </c>
      <c r="C44" s="57">
        <v>0.81569999999999998</v>
      </c>
      <c r="D44" s="57">
        <v>0.81569999999999998</v>
      </c>
      <c r="E44" s="57">
        <v>0.13220000000000001</v>
      </c>
      <c r="F44" s="57">
        <v>0.35289999999999999</v>
      </c>
      <c r="G44" s="57">
        <v>0.79169999999999996</v>
      </c>
      <c r="H44" s="57">
        <v>0.6986</v>
      </c>
      <c r="I44" s="57">
        <v>0.73680000000000001</v>
      </c>
      <c r="J44" s="57">
        <v>0.93279999999999996</v>
      </c>
      <c r="K44" s="57">
        <v>0.34039999999999998</v>
      </c>
      <c r="L44" s="57">
        <v>0.2273</v>
      </c>
      <c r="M44" s="57">
        <f t="shared" si="0"/>
        <v>2.0136155963837785</v>
      </c>
      <c r="N44" s="57">
        <f t="shared" si="1"/>
        <v>0.74604012626667737</v>
      </c>
      <c r="O44" s="57">
        <f t="shared" si="2"/>
        <v>0.94566926036537735</v>
      </c>
      <c r="P44" s="56" t="str">
        <f t="shared" si="3"/>
        <v>C2</v>
      </c>
      <c r="Q44" s="51"/>
      <c r="R44" s="51"/>
      <c r="S44" s="51"/>
      <c r="T44" s="51"/>
      <c r="U44" s="51"/>
    </row>
    <row r="45" spans="1:21" x14ac:dyDescent="0.25">
      <c r="A45" s="51"/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2"/>
      <c r="N45" s="52"/>
      <c r="O45" s="52"/>
      <c r="P45" s="51"/>
    </row>
    <row r="46" spans="1:21" x14ac:dyDescent="0.25">
      <c r="A46" s="51"/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2"/>
      <c r="N46" s="52"/>
      <c r="O46" s="52"/>
      <c r="P46" s="51"/>
    </row>
    <row r="47" spans="1:21" ht="15.75" customHeight="1" x14ac:dyDescent="0.25">
      <c r="A47" s="53"/>
    </row>
  </sheetData>
  <mergeCells count="1">
    <mergeCell ref="A1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41"/>
  <sheetViews>
    <sheetView workbookViewId="0"/>
  </sheetViews>
  <sheetFormatPr defaultRowHeight="15" x14ac:dyDescent="0.25"/>
  <cols>
    <col min="1" max="1" width="26" customWidth="1"/>
    <col min="2" max="5" width="18" customWidth="1"/>
  </cols>
  <sheetData>
    <row r="1" spans="1:5" ht="15.75" customHeight="1" x14ac:dyDescent="0.25">
      <c r="A1" s="58" t="s">
        <v>1621</v>
      </c>
      <c r="B1" s="58" t="s">
        <v>1633</v>
      </c>
      <c r="C1" s="58" t="s">
        <v>1634</v>
      </c>
      <c r="D1" s="58" t="s">
        <v>1635</v>
      </c>
      <c r="E1" s="58" t="s">
        <v>1636</v>
      </c>
    </row>
    <row r="2" spans="1:5" ht="15.75" customHeight="1" x14ac:dyDescent="0.25">
      <c r="A2" s="59" t="s">
        <v>1555</v>
      </c>
      <c r="B2" s="61">
        <v>2.1121790501754338</v>
      </c>
      <c r="C2" s="61">
        <v>0.83183506778687799</v>
      </c>
      <c r="D2" s="61">
        <v>0.70257032388224316</v>
      </c>
      <c r="E2" s="60" t="s">
        <v>1639</v>
      </c>
    </row>
    <row r="3" spans="1:5" ht="15.75" customHeight="1" x14ac:dyDescent="0.25">
      <c r="A3" s="59" t="s">
        <v>1557</v>
      </c>
      <c r="B3" s="61">
        <v>2.0186942140898898</v>
      </c>
      <c r="C3" s="61">
        <v>0.71306442205455745</v>
      </c>
      <c r="D3" s="61">
        <v>0.94652782843400862</v>
      </c>
      <c r="E3" s="60" t="s">
        <v>1638</v>
      </c>
    </row>
    <row r="4" spans="1:5" ht="15.75" customHeight="1" x14ac:dyDescent="0.25">
      <c r="A4" s="59" t="s">
        <v>1558</v>
      </c>
      <c r="B4" s="61">
        <v>2.1583624834582351</v>
      </c>
      <c r="C4" s="61">
        <v>0.73730964323003401</v>
      </c>
      <c r="D4" s="61">
        <v>0.77174381111868973</v>
      </c>
      <c r="E4" s="60" t="s">
        <v>1638</v>
      </c>
    </row>
    <row r="5" spans="1:5" ht="15.75" customHeight="1" x14ac:dyDescent="0.25">
      <c r="A5" s="59" t="s">
        <v>1559</v>
      </c>
      <c r="B5" s="61">
        <v>1.9024503042129639</v>
      </c>
      <c r="C5" s="61">
        <v>0.61064107297167625</v>
      </c>
      <c r="D5" s="61">
        <v>1.0287106395872461</v>
      </c>
      <c r="E5" s="60" t="s">
        <v>1638</v>
      </c>
    </row>
    <row r="6" spans="1:5" ht="15.75" customHeight="1" x14ac:dyDescent="0.25">
      <c r="A6" s="59" t="s">
        <v>1560</v>
      </c>
      <c r="B6" s="61">
        <v>1.4576099341044571</v>
      </c>
      <c r="C6" s="61">
        <v>0.6567899359764886</v>
      </c>
      <c r="D6" s="61">
        <v>1.534598651113704</v>
      </c>
      <c r="E6" s="60" t="s">
        <v>1638</v>
      </c>
    </row>
    <row r="7" spans="1:5" ht="15.75" customHeight="1" x14ac:dyDescent="0.25">
      <c r="A7" s="59" t="s">
        <v>1561</v>
      </c>
      <c r="B7" s="61">
        <v>2.2852426151286429</v>
      </c>
      <c r="C7" s="61">
        <v>0.89560293099118427</v>
      </c>
      <c r="D7" s="61">
        <v>0.90829137945925698</v>
      </c>
      <c r="E7" s="60" t="s">
        <v>1638</v>
      </c>
    </row>
    <row r="8" spans="1:5" ht="15.75" customHeight="1" x14ac:dyDescent="0.25">
      <c r="A8" s="59" t="s">
        <v>1562</v>
      </c>
      <c r="B8" s="61">
        <v>1.628390760843355</v>
      </c>
      <c r="C8" s="61">
        <v>0.4462470728195313</v>
      </c>
      <c r="D8" s="61">
        <v>1.2369663091612479</v>
      </c>
      <c r="E8" s="60" t="s">
        <v>1638</v>
      </c>
    </row>
    <row r="9" spans="1:5" ht="15.75" customHeight="1" x14ac:dyDescent="0.25">
      <c r="A9" s="59" t="s">
        <v>1563</v>
      </c>
      <c r="B9" s="61">
        <v>2.3697077773430211</v>
      </c>
      <c r="C9" s="61">
        <v>0.97787180652680639</v>
      </c>
      <c r="D9" s="61">
        <v>0.83776592792975291</v>
      </c>
      <c r="E9" s="60" t="s">
        <v>1639</v>
      </c>
    </row>
    <row r="10" spans="1:5" ht="15.75" customHeight="1" x14ac:dyDescent="0.25">
      <c r="A10" s="59" t="s">
        <v>1564</v>
      </c>
      <c r="B10" s="61">
        <v>1.8967414083105789</v>
      </c>
      <c r="C10" s="61">
        <v>0.66940408573596266</v>
      </c>
      <c r="D10" s="61">
        <v>1.1256941813832031</v>
      </c>
      <c r="E10" s="60" t="s">
        <v>1638</v>
      </c>
    </row>
    <row r="11" spans="1:5" ht="15.75" customHeight="1" x14ac:dyDescent="0.25">
      <c r="A11" s="59" t="s">
        <v>1565</v>
      </c>
      <c r="B11" s="61">
        <v>1.8466964016859939</v>
      </c>
      <c r="C11" s="61">
        <v>0.72688981283272913</v>
      </c>
      <c r="D11" s="61">
        <v>1.234185407465183</v>
      </c>
      <c r="E11" s="60" t="s">
        <v>1638</v>
      </c>
    </row>
    <row r="12" spans="1:5" ht="15.75" customHeight="1" x14ac:dyDescent="0.25">
      <c r="A12" s="59" t="s">
        <v>1566</v>
      </c>
      <c r="B12" s="61">
        <v>2.456102672935315</v>
      </c>
      <c r="C12" s="61">
        <v>1.056026202326438</v>
      </c>
      <c r="D12" s="61">
        <v>0</v>
      </c>
      <c r="E12" s="60" t="s">
        <v>1639</v>
      </c>
    </row>
    <row r="13" spans="1:5" ht="15.75" customHeight="1" x14ac:dyDescent="0.25">
      <c r="A13" s="59" t="s">
        <v>1567</v>
      </c>
      <c r="B13" s="61">
        <v>1.630747595429777</v>
      </c>
      <c r="C13" s="61">
        <v>0.30737234748753828</v>
      </c>
      <c r="D13" s="61">
        <v>1.0231731622750859</v>
      </c>
      <c r="E13" s="60" t="s">
        <v>1638</v>
      </c>
    </row>
    <row r="14" spans="1:5" ht="15.75" customHeight="1" x14ac:dyDescent="0.25">
      <c r="A14" s="59" t="s">
        <v>1568</v>
      </c>
      <c r="B14" s="61">
        <v>1.6894202289543001</v>
      </c>
      <c r="C14" s="61">
        <v>0.4478871398019818</v>
      </c>
      <c r="D14" s="61">
        <v>0.92912574498826583</v>
      </c>
      <c r="E14" s="60" t="s">
        <v>1638</v>
      </c>
    </row>
    <row r="15" spans="1:5" ht="15.75" customHeight="1" x14ac:dyDescent="0.25">
      <c r="A15" s="59" t="s">
        <v>1569</v>
      </c>
      <c r="B15" s="61">
        <v>1.4235513232757011</v>
      </c>
      <c r="C15" s="61">
        <v>0.35859103446684221</v>
      </c>
      <c r="D15" s="61">
        <v>1.196478779586166</v>
      </c>
      <c r="E15" s="60" t="s">
        <v>1638</v>
      </c>
    </row>
    <row r="16" spans="1:5" ht="15.75" customHeight="1" x14ac:dyDescent="0.25">
      <c r="A16" s="59" t="s">
        <v>1570</v>
      </c>
      <c r="B16" s="61">
        <v>0</v>
      </c>
      <c r="C16" s="61">
        <v>1.5093178856688869</v>
      </c>
      <c r="D16" s="61">
        <v>2.456102672935315</v>
      </c>
      <c r="E16" s="60" t="s">
        <v>1637</v>
      </c>
    </row>
    <row r="17" spans="1:5" ht="15.75" customHeight="1" x14ac:dyDescent="0.25">
      <c r="A17" s="59" t="s">
        <v>1571</v>
      </c>
      <c r="B17" s="61">
        <v>1.6872756532351201</v>
      </c>
      <c r="C17" s="61">
        <v>0.87950123933966118</v>
      </c>
      <c r="D17" s="61">
        <v>1.403952011288135</v>
      </c>
      <c r="E17" s="60" t="s">
        <v>1638</v>
      </c>
    </row>
    <row r="18" spans="1:5" ht="15.75" customHeight="1" x14ac:dyDescent="0.25">
      <c r="A18" s="59" t="s">
        <v>1572</v>
      </c>
      <c r="B18" s="61">
        <v>1.4929597315400041</v>
      </c>
      <c r="C18" s="61">
        <v>0.24980712559893081</v>
      </c>
      <c r="D18" s="61">
        <v>1.1661587713514829</v>
      </c>
      <c r="E18" s="60" t="s">
        <v>1638</v>
      </c>
    </row>
    <row r="19" spans="1:5" ht="15.75" customHeight="1" x14ac:dyDescent="0.25">
      <c r="A19" s="59" t="s">
        <v>1573</v>
      </c>
      <c r="B19" s="61">
        <v>0.90401143798073702</v>
      </c>
      <c r="C19" s="61">
        <v>0.82941334689043922</v>
      </c>
      <c r="D19" s="61">
        <v>1.671742456241391</v>
      </c>
      <c r="E19" s="60" t="s">
        <v>1638</v>
      </c>
    </row>
    <row r="20" spans="1:5" ht="15.75" customHeight="1" x14ac:dyDescent="0.25">
      <c r="A20" s="59" t="s">
        <v>1574</v>
      </c>
      <c r="B20" s="61">
        <v>1.3946723199375539</v>
      </c>
      <c r="C20" s="61">
        <v>0.48244630789342768</v>
      </c>
      <c r="D20" s="61">
        <v>1.303523095307483</v>
      </c>
      <c r="E20" s="60" t="s">
        <v>1638</v>
      </c>
    </row>
    <row r="21" spans="1:5" ht="15.75" customHeight="1" x14ac:dyDescent="0.25">
      <c r="A21" s="59" t="s">
        <v>1575</v>
      </c>
      <c r="B21" s="61">
        <v>2.0208064132914858</v>
      </c>
      <c r="C21" s="61">
        <v>0.9975595621315051</v>
      </c>
      <c r="D21" s="61">
        <v>1.2269882477024789</v>
      </c>
      <c r="E21" s="60" t="s">
        <v>1638</v>
      </c>
    </row>
    <row r="22" spans="1:5" ht="15.75" customHeight="1" x14ac:dyDescent="0.25">
      <c r="A22" s="59" t="s">
        <v>1576</v>
      </c>
      <c r="B22" s="61">
        <v>1.605445592351233</v>
      </c>
      <c r="C22" s="61">
        <v>0.73882029614785227</v>
      </c>
      <c r="D22" s="61">
        <v>1.3697074103617899</v>
      </c>
      <c r="E22" s="60" t="s">
        <v>1638</v>
      </c>
    </row>
    <row r="23" spans="1:5" ht="15.75" customHeight="1" x14ac:dyDescent="0.25">
      <c r="A23" s="59" t="s">
        <v>1577</v>
      </c>
      <c r="B23" s="61">
        <v>1.952224554194522</v>
      </c>
      <c r="C23" s="61">
        <v>0.65295069492267177</v>
      </c>
      <c r="D23" s="61">
        <v>1.0081937660985609</v>
      </c>
      <c r="E23" s="60" t="s">
        <v>1638</v>
      </c>
    </row>
    <row r="24" spans="1:5" ht="15.75" customHeight="1" x14ac:dyDescent="0.25">
      <c r="A24" s="59" t="s">
        <v>1578</v>
      </c>
      <c r="B24" s="61">
        <v>1.902963176207044</v>
      </c>
      <c r="C24" s="61">
        <v>0.72676953018133605</v>
      </c>
      <c r="D24" s="61">
        <v>1.244257437188945</v>
      </c>
      <c r="E24" s="60" t="s">
        <v>1638</v>
      </c>
    </row>
    <row r="25" spans="1:5" ht="15.75" customHeight="1" x14ac:dyDescent="0.25">
      <c r="A25" s="59" t="s">
        <v>1579</v>
      </c>
      <c r="B25" s="61">
        <v>1.1464346994050729</v>
      </c>
      <c r="C25" s="61">
        <v>0.69858084714655622</v>
      </c>
      <c r="D25" s="61">
        <v>1.6265053396776781</v>
      </c>
      <c r="E25" s="60" t="s">
        <v>1638</v>
      </c>
    </row>
    <row r="26" spans="1:5" ht="15.75" customHeight="1" x14ac:dyDescent="0.25">
      <c r="A26" s="59" t="s">
        <v>1580</v>
      </c>
      <c r="B26" s="61">
        <v>2.2790906168908691</v>
      </c>
      <c r="C26" s="61">
        <v>0.83925962609909932</v>
      </c>
      <c r="D26" s="61">
        <v>0.77373328738008929</v>
      </c>
      <c r="E26" s="60" t="s">
        <v>1639</v>
      </c>
    </row>
    <row r="27" spans="1:5" ht="15.75" customHeight="1" x14ac:dyDescent="0.25">
      <c r="A27" s="59" t="s">
        <v>1581</v>
      </c>
      <c r="B27" s="61">
        <v>2.1760498730497879</v>
      </c>
      <c r="C27" s="61">
        <v>0.82223531303392694</v>
      </c>
      <c r="D27" s="61">
        <v>0.91117544413795515</v>
      </c>
      <c r="E27" s="60" t="s">
        <v>1638</v>
      </c>
    </row>
    <row r="28" spans="1:5" ht="15.75" customHeight="1" x14ac:dyDescent="0.25">
      <c r="A28" s="59" t="s">
        <v>1582</v>
      </c>
      <c r="B28" s="61">
        <v>1.526596118821216</v>
      </c>
      <c r="C28" s="61">
        <v>0.57387996131595331</v>
      </c>
      <c r="D28" s="61">
        <v>1.4358607627482549</v>
      </c>
      <c r="E28" s="60" t="s">
        <v>1638</v>
      </c>
    </row>
    <row r="29" spans="1:5" ht="15.75" customHeight="1" x14ac:dyDescent="0.25">
      <c r="A29" s="59" t="s">
        <v>1583</v>
      </c>
      <c r="B29" s="61">
        <v>1.5093178856688869</v>
      </c>
      <c r="C29" s="61">
        <v>0</v>
      </c>
      <c r="D29" s="61">
        <v>1.056026202326438</v>
      </c>
      <c r="E29" s="60" t="s">
        <v>1638</v>
      </c>
    </row>
    <row r="30" spans="1:5" ht="15.75" customHeight="1" x14ac:dyDescent="0.25">
      <c r="A30" s="59" t="s">
        <v>1584</v>
      </c>
      <c r="B30" s="61">
        <v>2.2711546820945512</v>
      </c>
      <c r="C30" s="61">
        <v>0.9121527558473963</v>
      </c>
      <c r="D30" s="61">
        <v>0.89252473915292685</v>
      </c>
      <c r="E30" s="60" t="s">
        <v>1639</v>
      </c>
    </row>
    <row r="31" spans="1:5" ht="15.75" customHeight="1" x14ac:dyDescent="0.25">
      <c r="A31" s="59" t="s">
        <v>1585</v>
      </c>
      <c r="B31" s="61">
        <v>1.641890864217229</v>
      </c>
      <c r="C31" s="61">
        <v>0.40164037396656233</v>
      </c>
      <c r="D31" s="61">
        <v>1.206722184266122</v>
      </c>
      <c r="E31" s="60" t="s">
        <v>1638</v>
      </c>
    </row>
    <row r="32" spans="1:5" ht="15.75" customHeight="1" x14ac:dyDescent="0.25">
      <c r="A32" s="59" t="s">
        <v>1586</v>
      </c>
      <c r="B32" s="61">
        <v>1.5334792238566519</v>
      </c>
      <c r="C32" s="61">
        <v>0.49923548551760621</v>
      </c>
      <c r="D32" s="61">
        <v>1.3449647839255869</v>
      </c>
      <c r="E32" s="60" t="s">
        <v>1638</v>
      </c>
    </row>
    <row r="33" spans="1:5" ht="15.75" customHeight="1" x14ac:dyDescent="0.25">
      <c r="A33" s="59" t="s">
        <v>1587</v>
      </c>
      <c r="B33" s="61">
        <v>2.5708951865060539</v>
      </c>
      <c r="C33" s="61">
        <v>1.165489716814353</v>
      </c>
      <c r="D33" s="61">
        <v>0.84198977428470001</v>
      </c>
      <c r="E33" s="60" t="s">
        <v>1639</v>
      </c>
    </row>
    <row r="34" spans="1:5" ht="15.75" customHeight="1" x14ac:dyDescent="0.25">
      <c r="A34" s="59" t="s">
        <v>1588</v>
      </c>
      <c r="B34" s="61">
        <v>2.4042240764953671</v>
      </c>
      <c r="C34" s="61">
        <v>0.98473035395482755</v>
      </c>
      <c r="D34" s="61">
        <v>0.49213123249799939</v>
      </c>
      <c r="E34" s="60" t="s">
        <v>1639</v>
      </c>
    </row>
    <row r="35" spans="1:5" ht="15.75" customHeight="1" x14ac:dyDescent="0.25">
      <c r="A35" s="59" t="s">
        <v>1589</v>
      </c>
      <c r="B35" s="61">
        <v>2.702925999726963</v>
      </c>
      <c r="C35" s="61">
        <v>1.2528167783039941</v>
      </c>
      <c r="D35" s="61">
        <v>0.70987904603530871</v>
      </c>
      <c r="E35" s="60" t="s">
        <v>1639</v>
      </c>
    </row>
    <row r="36" spans="1:5" ht="15.75" customHeight="1" x14ac:dyDescent="0.25">
      <c r="A36" s="59" t="s">
        <v>1590</v>
      </c>
      <c r="B36" s="61">
        <v>2.170203693204857</v>
      </c>
      <c r="C36" s="61">
        <v>0.81695840163376743</v>
      </c>
      <c r="D36" s="61">
        <v>0.84406402008378489</v>
      </c>
      <c r="E36" s="60" t="s">
        <v>1638</v>
      </c>
    </row>
    <row r="37" spans="1:5" ht="15.75" customHeight="1" x14ac:dyDescent="0.25">
      <c r="A37" s="59" t="s">
        <v>1591</v>
      </c>
      <c r="B37" s="61">
        <v>1.5070872569297371</v>
      </c>
      <c r="C37" s="61">
        <v>0.35161180298732858</v>
      </c>
      <c r="D37" s="61">
        <v>1.096778145296486</v>
      </c>
      <c r="E37" s="60" t="s">
        <v>1638</v>
      </c>
    </row>
    <row r="38" spans="1:5" ht="15.75" customHeight="1" x14ac:dyDescent="0.25">
      <c r="A38" s="59" t="s">
        <v>1592</v>
      </c>
      <c r="B38" s="61">
        <v>2.1220180937023141</v>
      </c>
      <c r="C38" s="61">
        <v>0.65052590263570587</v>
      </c>
      <c r="D38" s="61">
        <v>0.58605085956766578</v>
      </c>
      <c r="E38" s="60" t="s">
        <v>1639</v>
      </c>
    </row>
    <row r="39" spans="1:5" ht="15.75" customHeight="1" x14ac:dyDescent="0.25">
      <c r="A39" s="59" t="s">
        <v>1593</v>
      </c>
      <c r="B39" s="61">
        <v>1.830168844669803</v>
      </c>
      <c r="C39" s="61">
        <v>0.71266725756133897</v>
      </c>
      <c r="D39" s="61">
        <v>1.1139349711720159</v>
      </c>
      <c r="E39" s="60" t="s">
        <v>1638</v>
      </c>
    </row>
    <row r="40" spans="1:5" ht="15.75" customHeight="1" x14ac:dyDescent="0.25">
      <c r="A40" s="59" t="s">
        <v>1594</v>
      </c>
      <c r="B40" s="61">
        <v>2.0301043125908582</v>
      </c>
      <c r="C40" s="61">
        <v>0.8298790152787332</v>
      </c>
      <c r="D40" s="61">
        <v>1.1158197076589029</v>
      </c>
      <c r="E40" s="60" t="s">
        <v>1638</v>
      </c>
    </row>
    <row r="41" spans="1:5" ht="15.75" customHeight="1" x14ac:dyDescent="0.25">
      <c r="A41" s="59" t="s">
        <v>1595</v>
      </c>
      <c r="B41" s="61">
        <v>2.013615596383779</v>
      </c>
      <c r="C41" s="61">
        <v>0.74604012626667737</v>
      </c>
      <c r="D41" s="61">
        <v>0.94566926036537735</v>
      </c>
      <c r="E41" s="60" t="s">
        <v>1638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6"/>
  <sheetViews>
    <sheetView workbookViewId="0"/>
  </sheetViews>
  <sheetFormatPr defaultRowHeight="15" x14ac:dyDescent="0.25"/>
  <cols>
    <col min="1" max="4" width="18" customWidth="1"/>
  </cols>
  <sheetData>
    <row r="1" spans="1:4" x14ac:dyDescent="0.25">
      <c r="A1" s="51" t="s">
        <v>1640</v>
      </c>
      <c r="B1" s="51"/>
      <c r="C1" s="51"/>
      <c r="D1" s="51"/>
    </row>
    <row r="2" spans="1:4" x14ac:dyDescent="0.25">
      <c r="A2" s="51"/>
      <c r="B2" s="51"/>
      <c r="C2" s="51"/>
      <c r="D2" s="51"/>
    </row>
    <row r="3" spans="1:4" ht="15.75" customHeight="1" x14ac:dyDescent="0.25">
      <c r="A3" s="58" t="s">
        <v>1598</v>
      </c>
      <c r="B3" s="58" t="s">
        <v>1641</v>
      </c>
      <c r="C3" s="58" t="s">
        <v>1642</v>
      </c>
      <c r="D3" s="58" t="s">
        <v>1643</v>
      </c>
    </row>
    <row r="4" spans="1:4" ht="15.75" customHeight="1" x14ac:dyDescent="0.25">
      <c r="A4" s="59" t="s">
        <v>45</v>
      </c>
      <c r="B4" s="66">
        <v>1</v>
      </c>
      <c r="C4" s="66">
        <v>0.45972333333333337</v>
      </c>
      <c r="D4" s="66">
        <v>0.1903222222222222</v>
      </c>
    </row>
    <row r="5" spans="1:4" ht="15.75" customHeight="1" x14ac:dyDescent="0.25">
      <c r="A5" s="59" t="s">
        <v>1596</v>
      </c>
      <c r="B5" s="66">
        <v>0</v>
      </c>
      <c r="C5" s="66">
        <v>0.54027666666666674</v>
      </c>
      <c r="D5" s="66">
        <v>0.80967777777777772</v>
      </c>
    </row>
    <row r="6" spans="1:4" ht="15.75" customHeight="1" x14ac:dyDescent="0.25">
      <c r="A6" s="59" t="s">
        <v>46</v>
      </c>
      <c r="B6" s="66">
        <v>0</v>
      </c>
      <c r="C6" s="66">
        <v>0.54027666666666674</v>
      </c>
      <c r="D6" s="66">
        <v>0.80967777777777772</v>
      </c>
    </row>
    <row r="7" spans="1:4" ht="15.75" customHeight="1" x14ac:dyDescent="0.25">
      <c r="A7" s="59" t="s">
        <v>1597</v>
      </c>
      <c r="B7" s="66">
        <v>0.59219999999999995</v>
      </c>
      <c r="C7" s="66">
        <v>0.2769766666666667</v>
      </c>
      <c r="D7" s="66">
        <v>8.3588888888888879E-2</v>
      </c>
    </row>
    <row r="8" spans="1:4" ht="15.75" customHeight="1" x14ac:dyDescent="0.25">
      <c r="A8" s="59" t="s">
        <v>1539</v>
      </c>
      <c r="B8" s="66">
        <v>0</v>
      </c>
      <c r="C8" s="66">
        <v>0.4451033333333333</v>
      </c>
      <c r="D8" s="66">
        <v>0.7647222222222223</v>
      </c>
    </row>
    <row r="9" spans="1:4" ht="15.75" customHeight="1" x14ac:dyDescent="0.25">
      <c r="A9" s="59" t="s">
        <v>1541</v>
      </c>
      <c r="B9" s="66">
        <v>0</v>
      </c>
      <c r="C9" s="66">
        <v>0.66388666666666662</v>
      </c>
      <c r="D9" s="66">
        <v>0.91666666666666663</v>
      </c>
    </row>
    <row r="10" spans="1:4" ht="15.75" customHeight="1" x14ac:dyDescent="0.25">
      <c r="A10" s="59" t="s">
        <v>1542</v>
      </c>
      <c r="B10" s="66">
        <v>0</v>
      </c>
      <c r="C10" s="66">
        <v>0.70223000000000002</v>
      </c>
      <c r="D10" s="66">
        <v>0.92557777777777772</v>
      </c>
    </row>
    <row r="11" spans="1:4" ht="15.75" customHeight="1" x14ac:dyDescent="0.25">
      <c r="A11" s="59" t="s">
        <v>1543</v>
      </c>
      <c r="B11" s="66">
        <v>0</v>
      </c>
      <c r="C11" s="66">
        <v>0.72981000000000007</v>
      </c>
      <c r="D11" s="66">
        <v>0.88888888888888884</v>
      </c>
    </row>
    <row r="12" spans="1:4" ht="15.75" customHeight="1" x14ac:dyDescent="0.25">
      <c r="A12" s="59" t="s">
        <v>1547</v>
      </c>
      <c r="B12" s="66">
        <v>0.9748</v>
      </c>
      <c r="C12" s="66">
        <v>0.74972666666666676</v>
      </c>
      <c r="D12" s="66">
        <v>0.71288888888888891</v>
      </c>
    </row>
    <row r="13" spans="1:4" ht="15.75" customHeight="1" x14ac:dyDescent="0.25">
      <c r="A13" s="59" t="s">
        <v>1549</v>
      </c>
      <c r="B13" s="66">
        <v>0.23400000000000001</v>
      </c>
      <c r="C13" s="66">
        <v>0.38580999999999999</v>
      </c>
      <c r="D13" s="66">
        <v>0.42788888888888887</v>
      </c>
    </row>
    <row r="14" spans="1:4" ht="15.75" customHeight="1" x14ac:dyDescent="0.25">
      <c r="A14" s="59" t="s">
        <v>1550</v>
      </c>
      <c r="B14" s="66">
        <v>0.45450000000000002</v>
      </c>
      <c r="C14" s="66">
        <v>0.33030333333333328</v>
      </c>
      <c r="D14" s="66">
        <v>0.4747555555555556</v>
      </c>
    </row>
    <row r="15" spans="1:4" x14ac:dyDescent="0.25">
      <c r="A15" s="51"/>
      <c r="B15" s="51"/>
      <c r="C15" s="51"/>
      <c r="D15" s="51"/>
    </row>
    <row r="16" spans="1:4" x14ac:dyDescent="0.25">
      <c r="A16" s="67" t="s">
        <v>1644</v>
      </c>
      <c r="B16" s="68">
        <v>1</v>
      </c>
      <c r="C16" s="68">
        <v>30</v>
      </c>
      <c r="D16" s="68">
        <v>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R43"/>
  <sheetViews>
    <sheetView workbookViewId="0"/>
  </sheetViews>
  <sheetFormatPr defaultRowHeight="15" x14ac:dyDescent="0.25"/>
  <cols>
    <col min="1" max="18" width="18" customWidth="1"/>
  </cols>
  <sheetData>
    <row r="1" spans="1:18" x14ac:dyDescent="0.25">
      <c r="A1" s="51" t="s">
        <v>1645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</row>
    <row r="2" spans="1:18" x14ac:dyDescent="0.25">
      <c r="A2" s="51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</row>
    <row r="3" spans="1:18" ht="15.75" customHeight="1" x14ac:dyDescent="0.25">
      <c r="A3" s="69" t="s">
        <v>1598</v>
      </c>
      <c r="B3" s="69" t="s">
        <v>1641</v>
      </c>
      <c r="C3" s="69" t="s">
        <v>1642</v>
      </c>
      <c r="D3" s="69" t="s">
        <v>1643</v>
      </c>
      <c r="E3" s="63"/>
      <c r="F3" s="71" t="s">
        <v>1621</v>
      </c>
      <c r="G3" s="71" t="s">
        <v>45</v>
      </c>
      <c r="H3" s="71" t="s">
        <v>1596</v>
      </c>
      <c r="I3" s="71" t="s">
        <v>46</v>
      </c>
      <c r="J3" s="71" t="s">
        <v>1597</v>
      </c>
      <c r="K3" s="71" t="s">
        <v>1539</v>
      </c>
      <c r="L3" s="71" t="s">
        <v>1541</v>
      </c>
      <c r="M3" s="71" t="s">
        <v>1542</v>
      </c>
      <c r="N3" s="71" t="s">
        <v>1543</v>
      </c>
      <c r="O3" s="71" t="s">
        <v>1547</v>
      </c>
      <c r="P3" s="71" t="s">
        <v>1549</v>
      </c>
      <c r="Q3" s="71" t="s">
        <v>1550</v>
      </c>
      <c r="R3" s="71" t="s">
        <v>1646</v>
      </c>
    </row>
    <row r="4" spans="1:18" x14ac:dyDescent="0.25">
      <c r="A4" s="54" t="s">
        <v>45</v>
      </c>
      <c r="B4" s="62">
        <f>AVERAGEIF($R$4:$R$43,"C1",G$4:G$43)</f>
        <v>1</v>
      </c>
      <c r="C4" s="57">
        <f>AVERAGEIF($R$4:$R$43,"C2",G$4:G$43)</f>
        <v>0.45972333333333332</v>
      </c>
      <c r="D4" s="57">
        <f>AVERAGEIF($R$4:$R$43,"C3",G$4:G$43)</f>
        <v>0.19032222222222223</v>
      </c>
      <c r="E4" s="51"/>
      <c r="F4" s="72" t="s">
        <v>1555</v>
      </c>
      <c r="G4" s="73">
        <v>0.46339999999999998</v>
      </c>
      <c r="H4" s="73">
        <v>0.53659999999999997</v>
      </c>
      <c r="I4" s="73">
        <v>0.53659999999999997</v>
      </c>
      <c r="J4" s="73">
        <v>0.17879999999999999</v>
      </c>
      <c r="K4" s="73">
        <v>0.76470000000000005</v>
      </c>
      <c r="L4" s="73">
        <v>0.91669999999999996</v>
      </c>
      <c r="M4" s="73">
        <v>0.85650000000000004</v>
      </c>
      <c r="N4" s="73">
        <v>0.89470000000000005</v>
      </c>
      <c r="O4" s="73">
        <v>0.89500000000000002</v>
      </c>
      <c r="P4" s="73">
        <v>0.63829999999999998</v>
      </c>
      <c r="Q4" s="73">
        <v>1</v>
      </c>
      <c r="R4" s="74" t="s">
        <v>1639</v>
      </c>
    </row>
    <row r="5" spans="1:18" x14ac:dyDescent="0.25">
      <c r="A5" s="54" t="s">
        <v>1596</v>
      </c>
      <c r="B5" s="62">
        <f>AVERAGEIF($R$4:$R$43,"C1",H$4:H$43)</f>
        <v>0</v>
      </c>
      <c r="C5" s="57">
        <f>AVERAGEIF($R$4:$R$43,"C2",H$4:H$43)</f>
        <v>0.54027666666666674</v>
      </c>
      <c r="D5" s="57">
        <f>AVERAGEIF($R$4:$R$43,"C3",H$4:H$43)</f>
        <v>0.80967777777777783</v>
      </c>
      <c r="E5" s="51"/>
      <c r="F5" s="72" t="s">
        <v>1557</v>
      </c>
      <c r="G5" s="73">
        <v>0.30759999999999998</v>
      </c>
      <c r="H5" s="73">
        <v>0.69240000000000002</v>
      </c>
      <c r="I5" s="73">
        <v>0.69240000000000002</v>
      </c>
      <c r="J5" s="73">
        <v>0.15640000000000001</v>
      </c>
      <c r="K5" s="73">
        <v>0.70589999999999997</v>
      </c>
      <c r="L5" s="73">
        <v>0.79169999999999996</v>
      </c>
      <c r="M5" s="73">
        <v>0.70330000000000004</v>
      </c>
      <c r="N5" s="73">
        <v>0.84209999999999996</v>
      </c>
      <c r="O5" s="73">
        <v>1</v>
      </c>
      <c r="P5" s="73">
        <v>0.10639999999999999</v>
      </c>
      <c r="Q5" s="73">
        <v>0.13639999999999999</v>
      </c>
      <c r="R5" s="74" t="s">
        <v>1638</v>
      </c>
    </row>
    <row r="6" spans="1:18" x14ac:dyDescent="0.25">
      <c r="A6" s="54" t="s">
        <v>46</v>
      </c>
      <c r="B6" s="62">
        <f>AVERAGEIF($R$4:$R$43,"C1",I$4:I$43)</f>
        <v>0</v>
      </c>
      <c r="C6" s="57">
        <f>AVERAGEIF($R$4:$R$43,"C2",I$4:I$43)</f>
        <v>0.54027666666666674</v>
      </c>
      <c r="D6" s="57">
        <f>AVERAGEIF($R$4:$R$43,"C3",I$4:I$43)</f>
        <v>0.80967777777777783</v>
      </c>
      <c r="E6" s="51"/>
      <c r="F6" s="72" t="s">
        <v>1558</v>
      </c>
      <c r="G6" s="73">
        <v>0.28560000000000002</v>
      </c>
      <c r="H6" s="73">
        <v>0.71440000000000003</v>
      </c>
      <c r="I6" s="73">
        <v>0.71440000000000003</v>
      </c>
      <c r="J6" s="73">
        <v>0.11550000000000001</v>
      </c>
      <c r="K6" s="73">
        <v>0.70589999999999997</v>
      </c>
      <c r="L6" s="73">
        <v>0.95830000000000004</v>
      </c>
      <c r="M6" s="73">
        <v>0.87080000000000002</v>
      </c>
      <c r="N6" s="73">
        <v>0.78949999999999998</v>
      </c>
      <c r="O6" s="73">
        <v>0.77729999999999999</v>
      </c>
      <c r="P6" s="73">
        <v>0.34039999999999998</v>
      </c>
      <c r="Q6" s="73">
        <v>0.2273</v>
      </c>
      <c r="R6" s="74" t="s">
        <v>1638</v>
      </c>
    </row>
    <row r="7" spans="1:18" x14ac:dyDescent="0.25">
      <c r="A7" s="54" t="s">
        <v>1597</v>
      </c>
      <c r="B7" s="62">
        <f>AVERAGEIF($R$4:$R$43,"C1",J$4:J$43)</f>
        <v>0.59219999999999995</v>
      </c>
      <c r="C7" s="57">
        <f>AVERAGEIF($R$4:$R$43,"C2",J$4:J$43)</f>
        <v>0.2769766666666667</v>
      </c>
      <c r="D7" s="57">
        <f>AVERAGEIF($R$4:$R$43,"C3",J$4:J$43)</f>
        <v>8.3588888888888893E-2</v>
      </c>
      <c r="E7" s="51"/>
      <c r="F7" s="72" t="s">
        <v>1559</v>
      </c>
      <c r="G7" s="73">
        <v>0.4153</v>
      </c>
      <c r="H7" s="73">
        <v>0.5847</v>
      </c>
      <c r="I7" s="73">
        <v>0.5847</v>
      </c>
      <c r="J7" s="73">
        <v>0.5363</v>
      </c>
      <c r="K7" s="73">
        <v>0.70589999999999997</v>
      </c>
      <c r="L7" s="73">
        <v>0.83330000000000004</v>
      </c>
      <c r="M7" s="73">
        <v>0.78949999999999998</v>
      </c>
      <c r="N7" s="73">
        <v>0.84209999999999996</v>
      </c>
      <c r="O7" s="73">
        <v>0.94120000000000004</v>
      </c>
      <c r="P7" s="73">
        <v>0.27660000000000001</v>
      </c>
      <c r="Q7" s="73">
        <v>0.20449999999999999</v>
      </c>
      <c r="R7" s="74" t="s">
        <v>1638</v>
      </c>
    </row>
    <row r="8" spans="1:18" x14ac:dyDescent="0.25">
      <c r="A8" s="54" t="s">
        <v>1539</v>
      </c>
      <c r="B8" s="62">
        <f>AVERAGEIF($R$4:$R$43,"C1",K$4:K$43)</f>
        <v>0</v>
      </c>
      <c r="C8" s="57">
        <f>AVERAGEIF($R$4:$R$43,"C2",K$4:K$43)</f>
        <v>0.4451033333333333</v>
      </c>
      <c r="D8" s="57">
        <f>AVERAGEIF($R$4:$R$43,"C3",K$4:K$43)</f>
        <v>0.76472222222222219</v>
      </c>
      <c r="E8" s="51"/>
      <c r="F8" s="72" t="s">
        <v>1560</v>
      </c>
      <c r="G8" s="73">
        <v>0.75570000000000004</v>
      </c>
      <c r="H8" s="73">
        <v>0.24429999999999999</v>
      </c>
      <c r="I8" s="73">
        <v>0.24429999999999999</v>
      </c>
      <c r="J8" s="73">
        <v>0.27750000000000002</v>
      </c>
      <c r="K8" s="73">
        <v>0.47060000000000002</v>
      </c>
      <c r="L8" s="73">
        <v>0.79169999999999996</v>
      </c>
      <c r="M8" s="73">
        <v>0.6411</v>
      </c>
      <c r="N8" s="73">
        <v>0.57889999999999997</v>
      </c>
      <c r="O8" s="73">
        <v>0.83189999999999997</v>
      </c>
      <c r="P8" s="73">
        <v>0.44679999999999997</v>
      </c>
      <c r="Q8" s="73">
        <v>2.2700000000000001E-2</v>
      </c>
      <c r="R8" s="74" t="s">
        <v>1638</v>
      </c>
    </row>
    <row r="9" spans="1:18" x14ac:dyDescent="0.25">
      <c r="A9" s="54" t="s">
        <v>1541</v>
      </c>
      <c r="B9" s="62">
        <f>AVERAGEIF($R$4:$R$43,"C1",L$4:L$43)</f>
        <v>0</v>
      </c>
      <c r="C9" s="57">
        <f>AVERAGEIF($R$4:$R$43,"C2",L$4:L$43)</f>
        <v>0.66388666666666651</v>
      </c>
      <c r="D9" s="57">
        <f>AVERAGEIF($R$4:$R$43,"C3",L$4:L$43)</f>
        <v>0.91666666666666663</v>
      </c>
      <c r="E9" s="51"/>
      <c r="F9" s="72" t="s">
        <v>1561</v>
      </c>
      <c r="G9" s="73">
        <v>0.17730000000000001</v>
      </c>
      <c r="H9" s="73">
        <v>0.82269999999999999</v>
      </c>
      <c r="I9" s="73">
        <v>0.82269999999999999</v>
      </c>
      <c r="J9" s="73">
        <v>0.11550000000000001</v>
      </c>
      <c r="K9" s="73">
        <v>0.64710000000000001</v>
      </c>
      <c r="L9" s="73">
        <v>0.91669999999999996</v>
      </c>
      <c r="M9" s="73">
        <v>0.82299999999999995</v>
      </c>
      <c r="N9" s="73">
        <v>0.89470000000000005</v>
      </c>
      <c r="O9" s="73">
        <v>0.77310000000000001</v>
      </c>
      <c r="P9" s="73">
        <v>0.46810000000000002</v>
      </c>
      <c r="Q9" s="73">
        <v>9.0899999999999995E-2</v>
      </c>
      <c r="R9" s="74" t="s">
        <v>1638</v>
      </c>
    </row>
    <row r="10" spans="1:18" x14ac:dyDescent="0.25">
      <c r="A10" s="54" t="s">
        <v>1542</v>
      </c>
      <c r="B10" s="62">
        <f>AVERAGEIF($R$4:$R$43,"C1",M$4:M$43)</f>
        <v>0</v>
      </c>
      <c r="C10" s="57">
        <f>AVERAGEIF($R$4:$R$43,"C2",M$4:M$43)</f>
        <v>0.70222999999999991</v>
      </c>
      <c r="D10" s="57">
        <f>AVERAGEIF($R$4:$R$43,"C3",M$4:M$43)</f>
        <v>0.92557777777777772</v>
      </c>
      <c r="E10" s="51"/>
      <c r="F10" s="72" t="s">
        <v>1562</v>
      </c>
      <c r="G10" s="73">
        <v>0.51900000000000002</v>
      </c>
      <c r="H10" s="73">
        <v>0.48099999999999998</v>
      </c>
      <c r="I10" s="73">
        <v>0.48099999999999998</v>
      </c>
      <c r="J10" s="73">
        <v>0.21229999999999999</v>
      </c>
      <c r="K10" s="73">
        <v>0.35289999999999999</v>
      </c>
      <c r="L10" s="73">
        <v>0.625</v>
      </c>
      <c r="M10" s="73">
        <v>0.622</v>
      </c>
      <c r="N10" s="73">
        <v>0.73680000000000001</v>
      </c>
      <c r="O10" s="73">
        <v>0.4748</v>
      </c>
      <c r="P10" s="73">
        <v>0.51060000000000005</v>
      </c>
      <c r="Q10" s="73">
        <v>0.25</v>
      </c>
      <c r="R10" s="74" t="s">
        <v>1638</v>
      </c>
    </row>
    <row r="11" spans="1:18" x14ac:dyDescent="0.25">
      <c r="A11" s="54" t="s">
        <v>1543</v>
      </c>
      <c r="B11" s="62">
        <f>AVERAGEIF($R$4:$R$43,"C1",N$4:N$43)</f>
        <v>0</v>
      </c>
      <c r="C11" s="57">
        <f>AVERAGEIF($R$4:$R$43,"C2",N$4:N$43)</f>
        <v>0.72980999999999985</v>
      </c>
      <c r="D11" s="57">
        <f>AVERAGEIF($R$4:$R$43,"C3",N$4:N$43)</f>
        <v>0.88888888888888884</v>
      </c>
      <c r="E11" s="51"/>
      <c r="F11" s="72" t="s">
        <v>1563</v>
      </c>
      <c r="G11" s="73">
        <v>0.1618</v>
      </c>
      <c r="H11" s="73">
        <v>0.83819999999999995</v>
      </c>
      <c r="I11" s="73">
        <v>0.83819999999999995</v>
      </c>
      <c r="J11" s="73">
        <v>8.3799999999999999E-2</v>
      </c>
      <c r="K11" s="73">
        <v>0.70589999999999997</v>
      </c>
      <c r="L11" s="73">
        <v>1</v>
      </c>
      <c r="M11" s="73">
        <v>0.93300000000000005</v>
      </c>
      <c r="N11" s="73">
        <v>0.78949999999999998</v>
      </c>
      <c r="O11" s="73">
        <v>0.57979999999999998</v>
      </c>
      <c r="P11" s="73">
        <v>0.23400000000000001</v>
      </c>
      <c r="Q11" s="73">
        <v>0.13639999999999999</v>
      </c>
      <c r="R11" s="74" t="s">
        <v>1639</v>
      </c>
    </row>
    <row r="12" spans="1:18" x14ac:dyDescent="0.25">
      <c r="A12" s="54" t="s">
        <v>1547</v>
      </c>
      <c r="B12" s="62">
        <f>AVERAGEIF($R$4:$R$43,"C1",O$4:O$43)</f>
        <v>0.9748</v>
      </c>
      <c r="C12" s="57">
        <f>AVERAGEIF($R$4:$R$43,"C2",O$4:O$43)</f>
        <v>0.74972666666666676</v>
      </c>
      <c r="D12" s="57">
        <f>AVERAGEIF($R$4:$R$43,"C3",O$4:O$43)</f>
        <v>0.71288888888888891</v>
      </c>
      <c r="E12" s="51"/>
      <c r="F12" s="72" t="s">
        <v>1564</v>
      </c>
      <c r="G12" s="73">
        <v>0.2944</v>
      </c>
      <c r="H12" s="73">
        <v>0.7056</v>
      </c>
      <c r="I12" s="73">
        <v>0.7056</v>
      </c>
      <c r="J12" s="73">
        <v>0.14149999999999999</v>
      </c>
      <c r="K12" s="73">
        <v>0.47060000000000002</v>
      </c>
      <c r="L12" s="73">
        <v>0.66669999999999996</v>
      </c>
      <c r="M12" s="73">
        <v>0.71289999999999998</v>
      </c>
      <c r="N12" s="73">
        <v>0.68420000000000003</v>
      </c>
      <c r="O12" s="73">
        <v>0.77310000000000001</v>
      </c>
      <c r="P12" s="73">
        <v>0.34039999999999998</v>
      </c>
      <c r="Q12" s="73">
        <v>0</v>
      </c>
      <c r="R12" s="74" t="s">
        <v>1638</v>
      </c>
    </row>
    <row r="13" spans="1:18" x14ac:dyDescent="0.25">
      <c r="A13" s="54" t="s">
        <v>1549</v>
      </c>
      <c r="B13" s="62">
        <f>AVERAGEIF($R$4:$R$43,"C1",P$4:P$43)</f>
        <v>0.23400000000000001</v>
      </c>
      <c r="C13" s="57">
        <f>AVERAGEIF($R$4:$R$43,"C2",P$4:P$43)</f>
        <v>0.3858100000000001</v>
      </c>
      <c r="D13" s="57">
        <f>AVERAGEIF($R$4:$R$43,"C3",P$4:P$43)</f>
        <v>0.42788888888888887</v>
      </c>
      <c r="E13" s="51"/>
      <c r="F13" s="72" t="s">
        <v>1565</v>
      </c>
      <c r="G13" s="73">
        <v>0.41549999999999998</v>
      </c>
      <c r="H13" s="73">
        <v>0.58450000000000002</v>
      </c>
      <c r="I13" s="73">
        <v>0.58450000000000002</v>
      </c>
      <c r="J13" s="73">
        <v>0.19370000000000001</v>
      </c>
      <c r="K13" s="73">
        <v>0.17649999999999999</v>
      </c>
      <c r="L13" s="73">
        <v>0.83330000000000004</v>
      </c>
      <c r="M13" s="73">
        <v>0.76559999999999995</v>
      </c>
      <c r="N13" s="73">
        <v>0.84209999999999996</v>
      </c>
      <c r="O13" s="73">
        <v>0.93279999999999996</v>
      </c>
      <c r="P13" s="73">
        <v>0</v>
      </c>
      <c r="Q13" s="73">
        <v>6.8199999999999997E-2</v>
      </c>
      <c r="R13" s="74" t="s">
        <v>1638</v>
      </c>
    </row>
    <row r="14" spans="1:18" x14ac:dyDescent="0.25">
      <c r="A14" s="54" t="s">
        <v>1550</v>
      </c>
      <c r="B14" s="62">
        <f>AVERAGEIF($R$4:$R$43,"C1",Q$4:Q$43)</f>
        <v>0.45450000000000002</v>
      </c>
      <c r="C14" s="57">
        <f>AVERAGEIF($R$4:$R$43,"C2",Q$4:Q$43)</f>
        <v>0.33030333333333328</v>
      </c>
      <c r="D14" s="57">
        <f>AVERAGEIF($R$4:$R$43,"C3",Q$4:Q$43)</f>
        <v>0.4747555555555556</v>
      </c>
      <c r="E14" s="51"/>
      <c r="F14" s="72" t="s">
        <v>1566</v>
      </c>
      <c r="G14" s="73">
        <v>0.16120000000000001</v>
      </c>
      <c r="H14" s="73">
        <v>0.83879999999999999</v>
      </c>
      <c r="I14" s="73">
        <v>0.83879999999999999</v>
      </c>
      <c r="J14" s="73">
        <v>4.8399999999999999E-2</v>
      </c>
      <c r="K14" s="73">
        <v>0.82350000000000001</v>
      </c>
      <c r="L14" s="73">
        <v>0.95830000000000004</v>
      </c>
      <c r="M14" s="73">
        <v>0.98089999999999999</v>
      </c>
      <c r="N14" s="73">
        <v>0.89470000000000005</v>
      </c>
      <c r="O14" s="73">
        <v>0.77729999999999999</v>
      </c>
      <c r="P14" s="73">
        <v>0.23400000000000001</v>
      </c>
      <c r="Q14" s="73">
        <v>0.93179999999999996</v>
      </c>
      <c r="R14" s="74" t="s">
        <v>1639</v>
      </c>
    </row>
    <row r="15" spans="1:18" x14ac:dyDescent="0.25">
      <c r="A15" s="51"/>
      <c r="B15" s="51"/>
      <c r="C15" s="51"/>
      <c r="D15" s="51"/>
      <c r="E15" s="51"/>
      <c r="F15" s="72" t="s">
        <v>1567</v>
      </c>
      <c r="G15" s="73">
        <v>0.58850000000000002</v>
      </c>
      <c r="H15" s="73">
        <v>0.41149999999999998</v>
      </c>
      <c r="I15" s="73">
        <v>0.41149999999999998</v>
      </c>
      <c r="J15" s="73">
        <v>0.21970000000000001</v>
      </c>
      <c r="K15" s="73">
        <v>0.4118</v>
      </c>
      <c r="L15" s="73">
        <v>0.625</v>
      </c>
      <c r="M15" s="73">
        <v>0.79430000000000001</v>
      </c>
      <c r="N15" s="73">
        <v>0.89470000000000005</v>
      </c>
      <c r="O15" s="73">
        <v>0.91180000000000005</v>
      </c>
      <c r="P15" s="73">
        <v>0.2979</v>
      </c>
      <c r="Q15" s="73">
        <v>0.56820000000000004</v>
      </c>
      <c r="R15" s="74" t="s">
        <v>1638</v>
      </c>
    </row>
    <row r="16" spans="1:18" x14ac:dyDescent="0.25">
      <c r="A16" s="70" t="s">
        <v>1644</v>
      </c>
      <c r="B16" s="70">
        <f>COUNTIF($R$4:$R$43,"C1")</f>
        <v>1</v>
      </c>
      <c r="C16" s="70">
        <f>COUNTIF($R$4:$R$43,"C2")</f>
        <v>30</v>
      </c>
      <c r="D16" s="70">
        <f>COUNTIF($R$4:$R$43,"C3")</f>
        <v>9</v>
      </c>
      <c r="E16" s="51"/>
      <c r="F16" s="72" t="s">
        <v>1568</v>
      </c>
      <c r="G16" s="73">
        <v>0.36259999999999998</v>
      </c>
      <c r="H16" s="73">
        <v>0.63739999999999997</v>
      </c>
      <c r="I16" s="73">
        <v>0.63739999999999997</v>
      </c>
      <c r="J16" s="73">
        <v>0.12479999999999999</v>
      </c>
      <c r="K16" s="73">
        <v>0.52939999999999998</v>
      </c>
      <c r="L16" s="73">
        <v>0.41670000000000001</v>
      </c>
      <c r="M16" s="73">
        <v>0.68420000000000003</v>
      </c>
      <c r="N16" s="73">
        <v>0.68420000000000003</v>
      </c>
      <c r="O16" s="73">
        <v>0.85289999999999999</v>
      </c>
      <c r="P16" s="73">
        <v>0.12770000000000001</v>
      </c>
      <c r="Q16" s="73">
        <v>0.4773</v>
      </c>
      <c r="R16" s="74" t="s">
        <v>1638</v>
      </c>
    </row>
    <row r="17" spans="1:18" x14ac:dyDescent="0.25">
      <c r="A17" s="51"/>
      <c r="B17" s="51"/>
      <c r="C17" s="51"/>
      <c r="D17" s="51"/>
      <c r="E17" s="51"/>
      <c r="F17" s="72" t="s">
        <v>1569</v>
      </c>
      <c r="G17" s="73">
        <v>0.45629999999999998</v>
      </c>
      <c r="H17" s="73">
        <v>0.54369999999999996</v>
      </c>
      <c r="I17" s="73">
        <v>0.54369999999999996</v>
      </c>
      <c r="J17" s="73">
        <v>0.2626</v>
      </c>
      <c r="K17" s="73">
        <v>0.23530000000000001</v>
      </c>
      <c r="L17" s="73">
        <v>0.45829999999999999</v>
      </c>
      <c r="M17" s="73">
        <v>0.58850000000000002</v>
      </c>
      <c r="N17" s="73">
        <v>0.57889999999999997</v>
      </c>
      <c r="O17" s="73">
        <v>0.72689999999999999</v>
      </c>
      <c r="P17" s="73">
        <v>0.38300000000000001</v>
      </c>
      <c r="Q17" s="73">
        <v>0.43180000000000002</v>
      </c>
      <c r="R17" s="74" t="s">
        <v>1638</v>
      </c>
    </row>
    <row r="18" spans="1:18" x14ac:dyDescent="0.25">
      <c r="A18" s="51"/>
      <c r="B18" s="51"/>
      <c r="C18" s="51"/>
      <c r="D18" s="51"/>
      <c r="E18" s="51"/>
      <c r="F18" s="72" t="s">
        <v>1570</v>
      </c>
      <c r="G18" s="73">
        <v>1</v>
      </c>
      <c r="H18" s="73">
        <v>0</v>
      </c>
      <c r="I18" s="73">
        <v>0</v>
      </c>
      <c r="J18" s="73">
        <v>0.59219999999999995</v>
      </c>
      <c r="K18" s="73">
        <v>0</v>
      </c>
      <c r="L18" s="73">
        <v>0</v>
      </c>
      <c r="M18" s="73">
        <v>0</v>
      </c>
      <c r="N18" s="73">
        <v>0</v>
      </c>
      <c r="O18" s="73">
        <v>0.9748</v>
      </c>
      <c r="P18" s="73">
        <v>0.23400000000000001</v>
      </c>
      <c r="Q18" s="73">
        <v>0.45450000000000002</v>
      </c>
      <c r="R18" s="74" t="s">
        <v>1637</v>
      </c>
    </row>
    <row r="19" spans="1:18" x14ac:dyDescent="0.25">
      <c r="A19" s="51"/>
      <c r="B19" s="51"/>
      <c r="C19" s="51"/>
      <c r="D19" s="51"/>
      <c r="E19" s="51"/>
      <c r="F19" s="72" t="s">
        <v>1571</v>
      </c>
      <c r="G19" s="73">
        <v>0.32350000000000001</v>
      </c>
      <c r="H19" s="73">
        <v>0.67649999999999999</v>
      </c>
      <c r="I19" s="73">
        <v>0.67649999999999999</v>
      </c>
      <c r="J19" s="73">
        <v>1</v>
      </c>
      <c r="K19" s="73">
        <v>0.29409999999999997</v>
      </c>
      <c r="L19" s="73">
        <v>0.33329999999999999</v>
      </c>
      <c r="M19" s="73">
        <v>0.60770000000000002</v>
      </c>
      <c r="N19" s="73">
        <v>0.84209999999999996</v>
      </c>
      <c r="O19" s="73">
        <v>0.82350000000000001</v>
      </c>
      <c r="P19" s="73">
        <v>0.2979</v>
      </c>
      <c r="Q19" s="73">
        <v>0.52270000000000005</v>
      </c>
      <c r="R19" s="74" t="s">
        <v>1638</v>
      </c>
    </row>
    <row r="20" spans="1:18" x14ac:dyDescent="0.25">
      <c r="A20" s="51"/>
      <c r="B20" s="51"/>
      <c r="C20" s="51"/>
      <c r="D20" s="51"/>
      <c r="E20" s="51"/>
      <c r="F20" s="72" t="s">
        <v>1572</v>
      </c>
      <c r="G20" s="73">
        <v>0.60099999999999998</v>
      </c>
      <c r="H20" s="73">
        <v>0.39900000000000002</v>
      </c>
      <c r="I20" s="73">
        <v>0.39900000000000002</v>
      </c>
      <c r="J20" s="73">
        <v>0.28310000000000002</v>
      </c>
      <c r="K20" s="73">
        <v>0.4118</v>
      </c>
      <c r="L20" s="73">
        <v>0.58330000000000004</v>
      </c>
      <c r="M20" s="73">
        <v>0.68899999999999995</v>
      </c>
      <c r="N20" s="73">
        <v>0.78949999999999998</v>
      </c>
      <c r="O20" s="73">
        <v>0.92859999999999998</v>
      </c>
      <c r="P20" s="73">
        <v>0.44679999999999997</v>
      </c>
      <c r="Q20" s="73">
        <v>0.43180000000000002</v>
      </c>
      <c r="R20" s="74" t="s">
        <v>1638</v>
      </c>
    </row>
    <row r="21" spans="1:18" x14ac:dyDescent="0.25">
      <c r="A21" s="51"/>
      <c r="B21" s="51"/>
      <c r="C21" s="51"/>
      <c r="D21" s="51"/>
      <c r="E21" s="51"/>
      <c r="F21" s="72" t="s">
        <v>1573</v>
      </c>
      <c r="G21" s="73">
        <v>0.72309999999999997</v>
      </c>
      <c r="H21" s="73">
        <v>0.27689999999999998</v>
      </c>
      <c r="I21" s="73">
        <v>0.27689999999999998</v>
      </c>
      <c r="J21" s="73">
        <v>0.37430000000000002</v>
      </c>
      <c r="K21" s="73">
        <v>0</v>
      </c>
      <c r="L21" s="73">
        <v>0.45829999999999999</v>
      </c>
      <c r="M21" s="73">
        <v>0.45450000000000002</v>
      </c>
      <c r="N21" s="73">
        <v>0.26319999999999999</v>
      </c>
      <c r="O21" s="73">
        <v>0.89500000000000002</v>
      </c>
      <c r="P21" s="73">
        <v>8.5099999999999995E-2</v>
      </c>
      <c r="Q21" s="73">
        <v>0.61360000000000003</v>
      </c>
      <c r="R21" s="74" t="s">
        <v>1638</v>
      </c>
    </row>
    <row r="22" spans="1:18" x14ac:dyDescent="0.25">
      <c r="A22" s="51"/>
      <c r="B22" s="51"/>
      <c r="C22" s="51"/>
      <c r="D22" s="51"/>
      <c r="E22" s="51"/>
      <c r="F22" s="72" t="s">
        <v>1574</v>
      </c>
      <c r="G22" s="73">
        <v>0.59350000000000003</v>
      </c>
      <c r="H22" s="73">
        <v>0.40649999999999997</v>
      </c>
      <c r="I22" s="73">
        <v>0.40649999999999997</v>
      </c>
      <c r="J22" s="73">
        <v>0.22720000000000001</v>
      </c>
      <c r="K22" s="73">
        <v>0.29409999999999997</v>
      </c>
      <c r="L22" s="73">
        <v>0.45829999999999999</v>
      </c>
      <c r="M22" s="73">
        <v>0.65069999999999995</v>
      </c>
      <c r="N22" s="73">
        <v>0.52629999999999999</v>
      </c>
      <c r="O22" s="73">
        <v>0.5504</v>
      </c>
      <c r="P22" s="73">
        <v>0.59570000000000001</v>
      </c>
      <c r="Q22" s="73">
        <v>0.54549999999999998</v>
      </c>
      <c r="R22" s="74" t="s">
        <v>1638</v>
      </c>
    </row>
    <row r="23" spans="1:18" x14ac:dyDescent="0.25">
      <c r="A23" s="51"/>
      <c r="B23" s="51"/>
      <c r="C23" s="51"/>
      <c r="D23" s="51"/>
      <c r="E23" s="51"/>
      <c r="F23" s="72" t="s">
        <v>1575</v>
      </c>
      <c r="G23" s="73">
        <v>0.2152</v>
      </c>
      <c r="H23" s="73">
        <v>0.78480000000000005</v>
      </c>
      <c r="I23" s="73">
        <v>0.78480000000000005</v>
      </c>
      <c r="J23" s="73">
        <v>0.18060000000000001</v>
      </c>
      <c r="K23" s="73">
        <v>0.47060000000000002</v>
      </c>
      <c r="L23" s="73">
        <v>0.54169999999999996</v>
      </c>
      <c r="M23" s="73">
        <v>0.53590000000000004</v>
      </c>
      <c r="N23" s="73">
        <v>0.52629999999999999</v>
      </c>
      <c r="O23" s="73">
        <v>0</v>
      </c>
      <c r="P23" s="73">
        <v>0.42549999999999999</v>
      </c>
      <c r="Q23" s="73">
        <v>0.4773</v>
      </c>
      <c r="R23" s="74" t="s">
        <v>1638</v>
      </c>
    </row>
    <row r="24" spans="1:18" x14ac:dyDescent="0.25">
      <c r="A24" s="51"/>
      <c r="B24" s="51"/>
      <c r="C24" s="51"/>
      <c r="D24" s="51"/>
      <c r="E24" s="51"/>
      <c r="F24" s="72" t="s">
        <v>1576</v>
      </c>
      <c r="G24" s="73">
        <v>0.48170000000000002</v>
      </c>
      <c r="H24" s="73">
        <v>0.51829999999999998</v>
      </c>
      <c r="I24" s="73">
        <v>0.51829999999999998</v>
      </c>
      <c r="J24" s="73">
        <v>0.29609999999999997</v>
      </c>
      <c r="K24" s="73">
        <v>0.35289999999999999</v>
      </c>
      <c r="L24" s="73">
        <v>0.375</v>
      </c>
      <c r="M24" s="73">
        <v>0.57889999999999997</v>
      </c>
      <c r="N24" s="73">
        <v>0.68420000000000003</v>
      </c>
      <c r="O24" s="73">
        <v>0.83189999999999997</v>
      </c>
      <c r="P24" s="73">
        <v>1</v>
      </c>
      <c r="Q24" s="73">
        <v>0.54549999999999998</v>
      </c>
      <c r="R24" s="74" t="s">
        <v>1638</v>
      </c>
    </row>
    <row r="25" spans="1:18" x14ac:dyDescent="0.25">
      <c r="A25" s="51"/>
      <c r="B25" s="51"/>
      <c r="C25" s="51"/>
      <c r="D25" s="51"/>
      <c r="E25" s="51"/>
      <c r="F25" s="72" t="s">
        <v>1577</v>
      </c>
      <c r="G25" s="73">
        <v>0.52910000000000001</v>
      </c>
      <c r="H25" s="73">
        <v>0.47089999999999999</v>
      </c>
      <c r="I25" s="73">
        <v>0.47089999999999999</v>
      </c>
      <c r="J25" s="73">
        <v>0.21970000000000001</v>
      </c>
      <c r="K25" s="73">
        <v>0.47060000000000002</v>
      </c>
      <c r="L25" s="73">
        <v>0.83330000000000004</v>
      </c>
      <c r="M25" s="73">
        <v>0.92820000000000003</v>
      </c>
      <c r="N25" s="73">
        <v>0.89470000000000005</v>
      </c>
      <c r="O25" s="73">
        <v>0.65129999999999999</v>
      </c>
      <c r="P25" s="73">
        <v>0.78720000000000001</v>
      </c>
      <c r="Q25" s="73">
        <v>0.59089999999999998</v>
      </c>
      <c r="R25" s="74" t="s">
        <v>1638</v>
      </c>
    </row>
    <row r="26" spans="1:18" x14ac:dyDescent="0.25">
      <c r="A26" s="51"/>
      <c r="B26" s="51"/>
      <c r="C26" s="51"/>
      <c r="D26" s="51"/>
      <c r="E26" s="51"/>
      <c r="F26" s="72" t="s">
        <v>1578</v>
      </c>
      <c r="G26" s="73">
        <v>0.47339999999999999</v>
      </c>
      <c r="H26" s="73">
        <v>0.52659999999999996</v>
      </c>
      <c r="I26" s="73">
        <v>0.52659999999999996</v>
      </c>
      <c r="J26" s="73">
        <v>0.19550000000000001</v>
      </c>
      <c r="K26" s="73">
        <v>0.47060000000000002</v>
      </c>
      <c r="L26" s="73">
        <v>0.79169999999999996</v>
      </c>
      <c r="M26" s="73">
        <v>0.79430000000000001</v>
      </c>
      <c r="N26" s="73">
        <v>0.68420000000000003</v>
      </c>
      <c r="O26" s="73">
        <v>0.44540000000000002</v>
      </c>
      <c r="P26" s="73">
        <v>0.8085</v>
      </c>
      <c r="Q26" s="73">
        <v>0.18179999999999999</v>
      </c>
      <c r="R26" s="74" t="s">
        <v>1638</v>
      </c>
    </row>
    <row r="27" spans="1:18" x14ac:dyDescent="0.25">
      <c r="A27" s="51"/>
      <c r="B27" s="51"/>
      <c r="C27" s="51"/>
      <c r="D27" s="51"/>
      <c r="E27" s="51"/>
      <c r="F27" s="72" t="s">
        <v>1579</v>
      </c>
      <c r="G27" s="73">
        <v>0.73040000000000005</v>
      </c>
      <c r="H27" s="73">
        <v>0.26960000000000001</v>
      </c>
      <c r="I27" s="73">
        <v>0.26960000000000001</v>
      </c>
      <c r="J27" s="73">
        <v>0.35199999999999998</v>
      </c>
      <c r="K27" s="73">
        <v>0</v>
      </c>
      <c r="L27" s="73">
        <v>0.66669999999999996</v>
      </c>
      <c r="M27" s="73">
        <v>0.52629999999999999</v>
      </c>
      <c r="N27" s="73">
        <v>0.42109999999999997</v>
      </c>
      <c r="O27" s="73">
        <v>0.65129999999999999</v>
      </c>
      <c r="P27" s="73">
        <v>0.38300000000000001</v>
      </c>
      <c r="Q27" s="73">
        <v>0.34089999999999998</v>
      </c>
      <c r="R27" s="74" t="s">
        <v>1638</v>
      </c>
    </row>
    <row r="28" spans="1:18" x14ac:dyDescent="0.25">
      <c r="A28" s="51"/>
      <c r="B28" s="51"/>
      <c r="C28" s="51"/>
      <c r="D28" s="51"/>
      <c r="E28" s="51"/>
      <c r="F28" s="72" t="s">
        <v>1580</v>
      </c>
      <c r="G28" s="73">
        <v>0.1996</v>
      </c>
      <c r="H28" s="73">
        <v>0.8004</v>
      </c>
      <c r="I28" s="73">
        <v>0.8004</v>
      </c>
      <c r="J28" s="73">
        <v>0.1024</v>
      </c>
      <c r="K28" s="73">
        <v>0.70589999999999997</v>
      </c>
      <c r="L28" s="73">
        <v>0.875</v>
      </c>
      <c r="M28" s="73">
        <v>0.88039999999999996</v>
      </c>
      <c r="N28" s="73">
        <v>0.89470000000000005</v>
      </c>
      <c r="O28" s="73">
        <v>0.68069999999999997</v>
      </c>
      <c r="P28" s="73">
        <v>0.46810000000000002</v>
      </c>
      <c r="Q28" s="73">
        <v>0.2273</v>
      </c>
      <c r="R28" s="74" t="s">
        <v>1639</v>
      </c>
    </row>
    <row r="29" spans="1:18" x14ac:dyDescent="0.25">
      <c r="A29" s="51"/>
      <c r="B29" s="51"/>
      <c r="C29" s="51"/>
      <c r="D29" s="51"/>
      <c r="E29" s="51"/>
      <c r="F29" s="72" t="s">
        <v>1581</v>
      </c>
      <c r="G29" s="73">
        <v>0.22650000000000001</v>
      </c>
      <c r="H29" s="73">
        <v>0.77349999999999997</v>
      </c>
      <c r="I29" s="73">
        <v>0.77349999999999997</v>
      </c>
      <c r="J29" s="73">
        <v>6.5199999999999994E-2</v>
      </c>
      <c r="K29" s="73">
        <v>0.64710000000000001</v>
      </c>
      <c r="L29" s="73">
        <v>0.83330000000000004</v>
      </c>
      <c r="M29" s="73">
        <v>0.90910000000000002</v>
      </c>
      <c r="N29" s="73">
        <v>0.68420000000000003</v>
      </c>
      <c r="O29" s="73">
        <v>0.65549999999999997</v>
      </c>
      <c r="P29" s="73">
        <v>0.42549999999999999</v>
      </c>
      <c r="Q29" s="73">
        <v>0.11360000000000001</v>
      </c>
      <c r="R29" s="74" t="s">
        <v>1638</v>
      </c>
    </row>
    <row r="30" spans="1:18" x14ac:dyDescent="0.25">
      <c r="A30" s="51"/>
      <c r="B30" s="51"/>
      <c r="C30" s="51"/>
      <c r="D30" s="51"/>
      <c r="E30" s="51"/>
      <c r="F30" s="72" t="s">
        <v>1582</v>
      </c>
      <c r="G30" s="73">
        <v>0.74770000000000003</v>
      </c>
      <c r="H30" s="73">
        <v>0.25230000000000002</v>
      </c>
      <c r="I30" s="73">
        <v>0.25230000000000002</v>
      </c>
      <c r="J30" s="73">
        <v>0.32590000000000002</v>
      </c>
      <c r="K30" s="73">
        <v>0.4118</v>
      </c>
      <c r="L30" s="73">
        <v>0.625</v>
      </c>
      <c r="M30" s="73">
        <v>0.75119999999999998</v>
      </c>
      <c r="N30" s="73">
        <v>0.89470000000000005</v>
      </c>
      <c r="O30" s="73">
        <v>0.78990000000000005</v>
      </c>
      <c r="P30" s="73">
        <v>8.5099999999999995E-2</v>
      </c>
      <c r="Q30" s="73">
        <v>0.15909999999999999</v>
      </c>
      <c r="R30" s="74" t="s">
        <v>1638</v>
      </c>
    </row>
    <row r="31" spans="1:18" x14ac:dyDescent="0.25">
      <c r="A31" s="51"/>
      <c r="B31" s="51"/>
      <c r="C31" s="51"/>
      <c r="D31" s="51"/>
      <c r="E31" s="51"/>
      <c r="F31" s="72" t="s">
        <v>1583</v>
      </c>
      <c r="G31" s="73">
        <v>0.54239999999999999</v>
      </c>
      <c r="H31" s="73">
        <v>0.45760000000000001</v>
      </c>
      <c r="I31" s="73">
        <v>0.45760000000000001</v>
      </c>
      <c r="J31" s="73">
        <v>0.27929999999999999</v>
      </c>
      <c r="K31" s="73">
        <v>0.47060000000000002</v>
      </c>
      <c r="L31" s="73">
        <v>0.58330000000000004</v>
      </c>
      <c r="M31" s="73">
        <v>0.63160000000000005</v>
      </c>
      <c r="N31" s="73">
        <v>0.73680000000000001</v>
      </c>
      <c r="O31" s="73">
        <v>0.77310000000000001</v>
      </c>
      <c r="P31" s="73">
        <v>0.31909999999999999</v>
      </c>
      <c r="Q31" s="73">
        <v>0.4773</v>
      </c>
      <c r="R31" s="74" t="s">
        <v>1638</v>
      </c>
    </row>
    <row r="32" spans="1:18" x14ac:dyDescent="0.25">
      <c r="A32" s="51"/>
      <c r="B32" s="51"/>
      <c r="C32" s="51"/>
      <c r="D32" s="51"/>
      <c r="E32" s="51"/>
      <c r="F32" s="72" t="s">
        <v>1584</v>
      </c>
      <c r="G32" s="73">
        <v>0.22889999999999999</v>
      </c>
      <c r="H32" s="73">
        <v>0.77110000000000001</v>
      </c>
      <c r="I32" s="73">
        <v>0.77110000000000001</v>
      </c>
      <c r="J32" s="73">
        <v>0.1024</v>
      </c>
      <c r="K32" s="73">
        <v>0.70589999999999997</v>
      </c>
      <c r="L32" s="73">
        <v>0.83330000000000004</v>
      </c>
      <c r="M32" s="73">
        <v>0.88039999999999996</v>
      </c>
      <c r="N32" s="73">
        <v>0.78949999999999998</v>
      </c>
      <c r="O32" s="73">
        <v>0.5504</v>
      </c>
      <c r="P32" s="73">
        <v>0.82979999999999998</v>
      </c>
      <c r="Q32" s="73">
        <v>0.36359999999999998</v>
      </c>
      <c r="R32" s="74" t="s">
        <v>1639</v>
      </c>
    </row>
    <row r="33" spans="1:18" x14ac:dyDescent="0.25">
      <c r="A33" s="51"/>
      <c r="B33" s="51"/>
      <c r="C33" s="51"/>
      <c r="D33" s="51"/>
      <c r="E33" s="51"/>
      <c r="F33" s="72" t="s">
        <v>1585</v>
      </c>
      <c r="G33" s="73">
        <v>0.55969999999999998</v>
      </c>
      <c r="H33" s="73">
        <v>0.44030000000000002</v>
      </c>
      <c r="I33" s="73">
        <v>0.44030000000000002</v>
      </c>
      <c r="J33" s="73">
        <v>0.22720000000000001</v>
      </c>
      <c r="K33" s="73">
        <v>0.4118</v>
      </c>
      <c r="L33" s="73">
        <v>0.75</v>
      </c>
      <c r="M33" s="73">
        <v>0.72250000000000003</v>
      </c>
      <c r="N33" s="73">
        <v>0.73680000000000001</v>
      </c>
      <c r="O33" s="73">
        <v>0.74790000000000001</v>
      </c>
      <c r="P33" s="73">
        <v>0.44679999999999997</v>
      </c>
      <c r="Q33" s="73">
        <v>0.15909999999999999</v>
      </c>
      <c r="R33" s="74" t="s">
        <v>1638</v>
      </c>
    </row>
    <row r="34" spans="1:18" x14ac:dyDescent="0.25">
      <c r="A34" s="51"/>
      <c r="B34" s="51"/>
      <c r="C34" s="51"/>
      <c r="D34" s="51"/>
      <c r="E34" s="51"/>
      <c r="F34" s="72" t="s">
        <v>1586</v>
      </c>
      <c r="G34" s="73">
        <v>0.55520000000000003</v>
      </c>
      <c r="H34" s="73">
        <v>0.44479999999999997</v>
      </c>
      <c r="I34" s="73">
        <v>0.44479999999999997</v>
      </c>
      <c r="J34" s="73">
        <v>0.43020000000000003</v>
      </c>
      <c r="K34" s="73">
        <v>0.35289999999999999</v>
      </c>
      <c r="L34" s="73">
        <v>0.70830000000000004</v>
      </c>
      <c r="M34" s="73">
        <v>0.57889999999999997</v>
      </c>
      <c r="N34" s="73">
        <v>0.73680000000000001</v>
      </c>
      <c r="O34" s="73">
        <v>0.68489999999999995</v>
      </c>
      <c r="P34" s="73">
        <v>0.12770000000000001</v>
      </c>
      <c r="Q34" s="73">
        <v>9.0899999999999995E-2</v>
      </c>
      <c r="R34" s="74" t="s">
        <v>1638</v>
      </c>
    </row>
    <row r="35" spans="1:18" x14ac:dyDescent="0.25">
      <c r="A35" s="51"/>
      <c r="B35" s="51"/>
      <c r="C35" s="51"/>
      <c r="D35" s="51"/>
      <c r="E35" s="51"/>
      <c r="F35" s="72" t="s">
        <v>1587</v>
      </c>
      <c r="G35" s="73">
        <v>0</v>
      </c>
      <c r="H35" s="73">
        <v>1</v>
      </c>
      <c r="I35" s="73">
        <v>1</v>
      </c>
      <c r="J35" s="73">
        <v>0</v>
      </c>
      <c r="K35" s="73">
        <v>0.64710000000000001</v>
      </c>
      <c r="L35" s="73">
        <v>0.91669999999999996</v>
      </c>
      <c r="M35" s="73">
        <v>0.97130000000000005</v>
      </c>
      <c r="N35" s="73">
        <v>0.94740000000000002</v>
      </c>
      <c r="O35" s="73">
        <v>0.73950000000000005</v>
      </c>
      <c r="P35" s="73">
        <v>0.40429999999999999</v>
      </c>
      <c r="Q35" s="73">
        <v>0.18179999999999999</v>
      </c>
      <c r="R35" s="74" t="s">
        <v>1639</v>
      </c>
    </row>
    <row r="36" spans="1:18" x14ac:dyDescent="0.25">
      <c r="A36" s="51"/>
      <c r="B36" s="51"/>
      <c r="C36" s="51"/>
      <c r="D36" s="51"/>
      <c r="E36" s="51"/>
      <c r="F36" s="72" t="s">
        <v>1588</v>
      </c>
      <c r="G36" s="73">
        <v>0.17760000000000001</v>
      </c>
      <c r="H36" s="73">
        <v>0.82240000000000002</v>
      </c>
      <c r="I36" s="73">
        <v>0.82240000000000002</v>
      </c>
      <c r="J36" s="73">
        <v>7.4499999999999997E-2</v>
      </c>
      <c r="K36" s="73">
        <v>0.94120000000000004</v>
      </c>
      <c r="L36" s="73">
        <v>0.95830000000000004</v>
      </c>
      <c r="M36" s="73">
        <v>0.9617</v>
      </c>
      <c r="N36" s="73">
        <v>0.84209999999999996</v>
      </c>
      <c r="O36" s="73">
        <v>0.80669999999999997</v>
      </c>
      <c r="P36" s="73">
        <v>0.10639999999999999</v>
      </c>
      <c r="Q36" s="73">
        <v>0.4773</v>
      </c>
      <c r="R36" s="74" t="s">
        <v>1639</v>
      </c>
    </row>
    <row r="37" spans="1:18" x14ac:dyDescent="0.25">
      <c r="A37" s="51"/>
      <c r="B37" s="51"/>
      <c r="C37" s="51"/>
      <c r="D37" s="51"/>
      <c r="E37" s="51"/>
      <c r="F37" s="72" t="s">
        <v>1589</v>
      </c>
      <c r="G37" s="73">
        <v>2.98E-2</v>
      </c>
      <c r="H37" s="73">
        <v>0.97019999999999995</v>
      </c>
      <c r="I37" s="73">
        <v>0.97019999999999995</v>
      </c>
      <c r="J37" s="73">
        <v>2.4199999999999999E-2</v>
      </c>
      <c r="K37" s="73">
        <v>0.88239999999999996</v>
      </c>
      <c r="L37" s="73">
        <v>1</v>
      </c>
      <c r="M37" s="73">
        <v>1</v>
      </c>
      <c r="N37" s="73">
        <v>1</v>
      </c>
      <c r="O37" s="73">
        <v>0.49159999999999998</v>
      </c>
      <c r="P37" s="73">
        <v>0.61699999999999999</v>
      </c>
      <c r="Q37" s="73">
        <v>0.4773</v>
      </c>
      <c r="R37" s="74" t="s">
        <v>1639</v>
      </c>
    </row>
    <row r="38" spans="1:18" x14ac:dyDescent="0.25">
      <c r="A38" s="51"/>
      <c r="B38" s="51"/>
      <c r="C38" s="51"/>
      <c r="D38" s="51"/>
      <c r="E38" s="51"/>
      <c r="F38" s="72" t="s">
        <v>1590</v>
      </c>
      <c r="G38" s="73">
        <v>0.2954</v>
      </c>
      <c r="H38" s="73">
        <v>0.7046</v>
      </c>
      <c r="I38" s="73">
        <v>0.7046</v>
      </c>
      <c r="J38" s="73">
        <v>0.1173</v>
      </c>
      <c r="K38" s="73">
        <v>1</v>
      </c>
      <c r="L38" s="73">
        <v>0.75</v>
      </c>
      <c r="M38" s="73">
        <v>0.80859999999999999</v>
      </c>
      <c r="N38" s="73">
        <v>0.84209999999999996</v>
      </c>
      <c r="O38" s="73">
        <v>0.90339999999999998</v>
      </c>
      <c r="P38" s="73">
        <v>0.1915</v>
      </c>
      <c r="Q38" s="73">
        <v>0.20449999999999999</v>
      </c>
      <c r="R38" s="74" t="s">
        <v>1638</v>
      </c>
    </row>
    <row r="39" spans="1:18" x14ac:dyDescent="0.25">
      <c r="A39" s="51"/>
      <c r="B39" s="51"/>
      <c r="C39" s="51"/>
      <c r="D39" s="51"/>
      <c r="E39" s="51"/>
      <c r="F39" s="72" t="s">
        <v>1591</v>
      </c>
      <c r="G39" s="73">
        <v>0.52280000000000004</v>
      </c>
      <c r="H39" s="73">
        <v>0.47720000000000001</v>
      </c>
      <c r="I39" s="73">
        <v>0.47720000000000001</v>
      </c>
      <c r="J39" s="73">
        <v>0.21790000000000001</v>
      </c>
      <c r="K39" s="73">
        <v>0.4118</v>
      </c>
      <c r="L39" s="73">
        <v>0.625</v>
      </c>
      <c r="M39" s="73">
        <v>0.65549999999999997</v>
      </c>
      <c r="N39" s="73">
        <v>0.63160000000000005</v>
      </c>
      <c r="O39" s="73">
        <v>0.86550000000000005</v>
      </c>
      <c r="P39" s="73">
        <v>2.1299999999999999E-2</v>
      </c>
      <c r="Q39" s="73">
        <v>0.40910000000000002</v>
      </c>
      <c r="R39" s="74" t="s">
        <v>1638</v>
      </c>
    </row>
    <row r="40" spans="1:18" x14ac:dyDescent="0.25">
      <c r="A40" s="51"/>
      <c r="B40" s="51"/>
      <c r="C40" s="51"/>
      <c r="D40" s="51"/>
      <c r="E40" s="51"/>
      <c r="F40" s="72" t="s">
        <v>1592</v>
      </c>
      <c r="G40" s="73">
        <v>0.29060000000000002</v>
      </c>
      <c r="H40" s="73">
        <v>0.70940000000000003</v>
      </c>
      <c r="I40" s="73">
        <v>0.70940000000000003</v>
      </c>
      <c r="J40" s="73">
        <v>0.13780000000000001</v>
      </c>
      <c r="K40" s="73">
        <v>0.70589999999999997</v>
      </c>
      <c r="L40" s="73">
        <v>0.79169999999999996</v>
      </c>
      <c r="M40" s="73">
        <v>0.86599999999999999</v>
      </c>
      <c r="N40" s="73">
        <v>0.94740000000000002</v>
      </c>
      <c r="O40" s="73">
        <v>0.89500000000000002</v>
      </c>
      <c r="P40" s="73">
        <v>0.31909999999999999</v>
      </c>
      <c r="Q40" s="73">
        <v>0.4773</v>
      </c>
      <c r="R40" s="74" t="s">
        <v>1639</v>
      </c>
    </row>
    <row r="41" spans="1:18" x14ac:dyDescent="0.25">
      <c r="A41" s="51"/>
      <c r="B41" s="51"/>
      <c r="C41" s="51"/>
      <c r="D41" s="51"/>
      <c r="E41" s="51"/>
      <c r="F41" s="72" t="s">
        <v>1593</v>
      </c>
      <c r="G41" s="73">
        <v>0.59430000000000005</v>
      </c>
      <c r="H41" s="73">
        <v>0.40570000000000001</v>
      </c>
      <c r="I41" s="73">
        <v>0.40570000000000001</v>
      </c>
      <c r="J41" s="73">
        <v>0.18809999999999999</v>
      </c>
      <c r="K41" s="73">
        <v>0.52939999999999998</v>
      </c>
      <c r="L41" s="73">
        <v>0.625</v>
      </c>
      <c r="M41" s="73">
        <v>0.77510000000000001</v>
      </c>
      <c r="N41" s="73">
        <v>0.89470000000000005</v>
      </c>
      <c r="O41" s="73">
        <v>0.72270000000000001</v>
      </c>
      <c r="P41" s="73">
        <v>0.87229999999999996</v>
      </c>
      <c r="Q41" s="73">
        <v>0.84089999999999998</v>
      </c>
      <c r="R41" s="74" t="s">
        <v>1638</v>
      </c>
    </row>
    <row r="42" spans="1:18" x14ac:dyDescent="0.25">
      <c r="A42" s="51"/>
      <c r="B42" s="51"/>
      <c r="C42" s="51"/>
      <c r="D42" s="51"/>
      <c r="E42" s="51"/>
      <c r="F42" s="72" t="s">
        <v>1594</v>
      </c>
      <c r="G42" s="73">
        <v>0.31469999999999998</v>
      </c>
      <c r="H42" s="73">
        <v>0.68530000000000002</v>
      </c>
      <c r="I42" s="73">
        <v>0.68530000000000002</v>
      </c>
      <c r="J42" s="73">
        <v>0.8417</v>
      </c>
      <c r="K42" s="73">
        <v>0.58819999999999995</v>
      </c>
      <c r="L42" s="73">
        <v>0.66669999999999996</v>
      </c>
      <c r="M42" s="73">
        <v>0.77510000000000001</v>
      </c>
      <c r="N42" s="73">
        <v>1</v>
      </c>
      <c r="O42" s="73">
        <v>0.64290000000000003</v>
      </c>
      <c r="P42" s="73">
        <v>0.61699999999999999</v>
      </c>
      <c r="Q42" s="73">
        <v>0.5</v>
      </c>
      <c r="R42" s="74" t="s">
        <v>1638</v>
      </c>
    </row>
    <row r="43" spans="1:18" x14ac:dyDescent="0.25">
      <c r="A43" s="51"/>
      <c r="B43" s="51"/>
      <c r="C43" s="51"/>
      <c r="D43" s="51"/>
      <c r="E43" s="51"/>
      <c r="F43" s="72" t="s">
        <v>1595</v>
      </c>
      <c r="G43" s="73">
        <v>0.18429999999999999</v>
      </c>
      <c r="H43" s="73">
        <v>0.81569999999999998</v>
      </c>
      <c r="I43" s="73">
        <v>0.81569999999999998</v>
      </c>
      <c r="J43" s="73">
        <v>0.13220000000000001</v>
      </c>
      <c r="K43" s="73">
        <v>0.35289999999999999</v>
      </c>
      <c r="L43" s="73">
        <v>0.79169999999999996</v>
      </c>
      <c r="M43" s="73">
        <v>0.6986</v>
      </c>
      <c r="N43" s="73">
        <v>0.73680000000000001</v>
      </c>
      <c r="O43" s="73">
        <v>0.93279999999999996</v>
      </c>
      <c r="P43" s="73">
        <v>0.34039999999999998</v>
      </c>
      <c r="Q43" s="73">
        <v>0.2273</v>
      </c>
      <c r="R43" s="74" t="s">
        <v>1638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U50"/>
  <sheetViews>
    <sheetView workbookViewId="0"/>
  </sheetViews>
  <sheetFormatPr defaultRowHeight="15" x14ac:dyDescent="0.25"/>
  <cols>
    <col min="1" max="17" width="18" customWidth="1"/>
    <col min="18" max="21" width="18" hidden="1" customWidth="1"/>
  </cols>
  <sheetData>
    <row r="1" spans="1:21" x14ac:dyDescent="0.25">
      <c r="A1" s="51" t="s">
        <v>1647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 t="s">
        <v>1598</v>
      </c>
      <c r="S1" s="51" t="s">
        <v>1641</v>
      </c>
      <c r="T1" s="51" t="s">
        <v>1642</v>
      </c>
      <c r="U1" s="51" t="s">
        <v>1643</v>
      </c>
    </row>
    <row r="2" spans="1:21" x14ac:dyDescent="0.25">
      <c r="A2" s="51" t="s">
        <v>1648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 t="s">
        <v>45</v>
      </c>
      <c r="S2" s="52">
        <v>1</v>
      </c>
      <c r="T2" s="52">
        <v>0.45972333333333337</v>
      </c>
      <c r="U2" s="52">
        <v>0.1903222222222222</v>
      </c>
    </row>
    <row r="3" spans="1:21" x14ac:dyDescent="0.25">
      <c r="A3" s="63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 t="s">
        <v>1596</v>
      </c>
      <c r="S3" s="64">
        <v>0</v>
      </c>
      <c r="T3" s="64">
        <v>0.54027666666666674</v>
      </c>
      <c r="U3" s="64">
        <v>0.80967777777777772</v>
      </c>
    </row>
    <row r="4" spans="1:21" ht="15.75" customHeight="1" x14ac:dyDescent="0.25">
      <c r="A4" s="65" t="s">
        <v>1621</v>
      </c>
      <c r="B4" s="65" t="s">
        <v>1622</v>
      </c>
      <c r="C4" s="65" t="s">
        <v>1623</v>
      </c>
      <c r="D4" s="65" t="s">
        <v>1624</v>
      </c>
      <c r="E4" s="65" t="s">
        <v>1625</v>
      </c>
      <c r="F4" s="65" t="s">
        <v>1626</v>
      </c>
      <c r="G4" s="65" t="s">
        <v>1627</v>
      </c>
      <c r="H4" s="65" t="s">
        <v>1628</v>
      </c>
      <c r="I4" s="65" t="s">
        <v>1629</v>
      </c>
      <c r="J4" s="65" t="s">
        <v>1630</v>
      </c>
      <c r="K4" s="65" t="s">
        <v>1631</v>
      </c>
      <c r="L4" s="65" t="s">
        <v>1632</v>
      </c>
      <c r="M4" s="65" t="s">
        <v>1633</v>
      </c>
      <c r="N4" s="65" t="s">
        <v>1634</v>
      </c>
      <c r="O4" s="65" t="s">
        <v>1635</v>
      </c>
      <c r="P4" s="65" t="s">
        <v>1636</v>
      </c>
      <c r="Q4" s="51"/>
      <c r="R4" s="51" t="s">
        <v>46</v>
      </c>
      <c r="S4" s="52">
        <v>0</v>
      </c>
      <c r="T4" s="52">
        <v>0.54027666666666674</v>
      </c>
      <c r="U4" s="52">
        <v>0.80967777777777772</v>
      </c>
    </row>
    <row r="5" spans="1:21" ht="15.75" customHeight="1" x14ac:dyDescent="0.25">
      <c r="A5" s="59" t="s">
        <v>1555</v>
      </c>
      <c r="B5" s="61">
        <v>0.46339999999999998</v>
      </c>
      <c r="C5" s="61">
        <v>0.53659999999999997</v>
      </c>
      <c r="D5" s="61">
        <v>0.53659999999999997</v>
      </c>
      <c r="E5" s="61">
        <v>0.17879999999999999</v>
      </c>
      <c r="F5" s="61">
        <v>0.76470000000000005</v>
      </c>
      <c r="G5" s="61">
        <v>0.91669999999999996</v>
      </c>
      <c r="H5" s="61">
        <v>0.85650000000000004</v>
      </c>
      <c r="I5" s="61">
        <v>0.89470000000000005</v>
      </c>
      <c r="J5" s="61">
        <v>0.89500000000000002</v>
      </c>
      <c r="K5" s="61">
        <v>0.63829999999999998</v>
      </c>
      <c r="L5" s="61">
        <v>1</v>
      </c>
      <c r="M5" s="61">
        <f t="shared" ref="M5:M44" si="0">SQRT((B5-$S$2)^2+(C5-$S$3)^2+(D5-$S$4)^2+(E5-$S$5)^2+(F5-$S$6)^2+(G5-$S$7)^2+(H5-$S$8)^2+(I5-$S$9)^2+(J5-$S$10)^2+(K5-$S$11)^2+(L5-$S$12)^2)</f>
        <v>2.1121790501754343</v>
      </c>
      <c r="N5" s="61">
        <f t="shared" ref="N5:N44" si="1">SQRT((B5-$T$2)^2+(C5-$T$3)^2+(D5-$T$4)^2+(E5-$T$5)^2+(F5-$T$6)^2+(G5-$T$7)^2+(H5-$T$8)^2+(I5-$T$9)^2+(J5-$T$10)^2+(K5-$T$11)^2+(L5-$T$12)^2)</f>
        <v>0.87182161833077354</v>
      </c>
      <c r="O5" s="61">
        <f t="shared" ref="O5:O44" si="2">SQRT((B5-$U$2)^2+(C5-$U$3)^2+(D5-$U$4)^2+(E5-$U$5)^2+(F5-$U$6)^2+(G5-$U$7)^2+(H5-$U$8)^2+(I5-$U$9)^2+(J5-$U$10)^2+(K5-$U$11)^2+(L5-$U$12)^2)</f>
        <v>0.76870287024054318</v>
      </c>
      <c r="P5" s="60" t="str">
        <f t="shared" ref="P5:P44" si="3">IF(M5=MIN(M5:O5),$R$14,IF(N5=MIN(M5:O5),$R$15,$R$16))</f>
        <v>C3</v>
      </c>
      <c r="Q5" s="51"/>
      <c r="R5" s="51" t="s">
        <v>1597</v>
      </c>
      <c r="S5" s="52">
        <v>0.59219999999999995</v>
      </c>
      <c r="T5" s="52">
        <v>0.2769766666666667</v>
      </c>
      <c r="U5" s="52">
        <v>8.3588888888888879E-2</v>
      </c>
    </row>
    <row r="6" spans="1:21" ht="15.75" customHeight="1" x14ac:dyDescent="0.25">
      <c r="A6" s="59" t="s">
        <v>1557</v>
      </c>
      <c r="B6" s="61">
        <v>0.30759999999999998</v>
      </c>
      <c r="C6" s="61">
        <v>0.69240000000000002</v>
      </c>
      <c r="D6" s="61">
        <v>0.69240000000000002</v>
      </c>
      <c r="E6" s="61">
        <v>0.15640000000000001</v>
      </c>
      <c r="F6" s="61">
        <v>0.70589999999999997</v>
      </c>
      <c r="G6" s="61">
        <v>0.79169999999999996</v>
      </c>
      <c r="H6" s="61">
        <v>0.70330000000000004</v>
      </c>
      <c r="I6" s="61">
        <v>0.84209999999999996</v>
      </c>
      <c r="J6" s="61">
        <v>1</v>
      </c>
      <c r="K6" s="61">
        <v>0.10639999999999999</v>
      </c>
      <c r="L6" s="61">
        <v>0.13639999999999999</v>
      </c>
      <c r="M6" s="61">
        <f t="shared" si="0"/>
        <v>2.0186942140898907</v>
      </c>
      <c r="N6" s="61">
        <f t="shared" si="1"/>
        <v>0.59935781371027064</v>
      </c>
      <c r="O6" s="61">
        <f t="shared" si="2"/>
        <v>0.64614967258578415</v>
      </c>
      <c r="P6" s="60" t="str">
        <f t="shared" si="3"/>
        <v>C2</v>
      </c>
      <c r="Q6" s="51"/>
      <c r="R6" s="51" t="s">
        <v>1539</v>
      </c>
      <c r="S6" s="52">
        <v>0</v>
      </c>
      <c r="T6" s="52">
        <v>0.4451033333333333</v>
      </c>
      <c r="U6" s="52">
        <v>0.7647222222222223</v>
      </c>
    </row>
    <row r="7" spans="1:21" ht="15.75" customHeight="1" x14ac:dyDescent="0.25">
      <c r="A7" s="59" t="s">
        <v>1558</v>
      </c>
      <c r="B7" s="61">
        <v>0.28560000000000002</v>
      </c>
      <c r="C7" s="61">
        <v>0.71440000000000003</v>
      </c>
      <c r="D7" s="61">
        <v>0.71440000000000003</v>
      </c>
      <c r="E7" s="61">
        <v>0.11550000000000001</v>
      </c>
      <c r="F7" s="61">
        <v>0.70589999999999997</v>
      </c>
      <c r="G7" s="61">
        <v>0.95830000000000004</v>
      </c>
      <c r="H7" s="61">
        <v>0.87080000000000002</v>
      </c>
      <c r="I7" s="61">
        <v>0.78949999999999998</v>
      </c>
      <c r="J7" s="61">
        <v>0.77729999999999999</v>
      </c>
      <c r="K7" s="61">
        <v>0.34039999999999998</v>
      </c>
      <c r="L7" s="61">
        <v>0.2273</v>
      </c>
      <c r="M7" s="61">
        <f t="shared" si="0"/>
        <v>2.1583624834582351</v>
      </c>
      <c r="N7" s="61">
        <f t="shared" si="1"/>
        <v>0.56314866260063956</v>
      </c>
      <c r="O7" s="61">
        <f t="shared" si="2"/>
        <v>0.34548715918322326</v>
      </c>
      <c r="P7" s="60" t="str">
        <f t="shared" si="3"/>
        <v>C3</v>
      </c>
      <c r="Q7" s="51"/>
      <c r="R7" s="51" t="s">
        <v>1541</v>
      </c>
      <c r="S7" s="52">
        <v>0</v>
      </c>
      <c r="T7" s="52">
        <v>0.66388666666666662</v>
      </c>
      <c r="U7" s="52">
        <v>0.91666666666666663</v>
      </c>
    </row>
    <row r="8" spans="1:21" ht="15.75" customHeight="1" x14ac:dyDescent="0.25">
      <c r="A8" s="59" t="s">
        <v>1559</v>
      </c>
      <c r="B8" s="61">
        <v>0.4153</v>
      </c>
      <c r="C8" s="61">
        <v>0.5847</v>
      </c>
      <c r="D8" s="61">
        <v>0.5847</v>
      </c>
      <c r="E8" s="61">
        <v>0.5363</v>
      </c>
      <c r="F8" s="61">
        <v>0.70589999999999997</v>
      </c>
      <c r="G8" s="61">
        <v>0.83330000000000004</v>
      </c>
      <c r="H8" s="61">
        <v>0.78949999999999998</v>
      </c>
      <c r="I8" s="61">
        <v>0.84209999999999996</v>
      </c>
      <c r="J8" s="61">
        <v>0.94120000000000004</v>
      </c>
      <c r="K8" s="61">
        <v>0.27660000000000001</v>
      </c>
      <c r="L8" s="61">
        <v>0.20449999999999999</v>
      </c>
      <c r="M8" s="61">
        <f t="shared" si="0"/>
        <v>1.9024503042129641</v>
      </c>
      <c r="N8" s="61">
        <f t="shared" si="1"/>
        <v>0.5045048115286469</v>
      </c>
      <c r="O8" s="61">
        <f t="shared" si="2"/>
        <v>0.73209365858356645</v>
      </c>
      <c r="P8" s="60" t="str">
        <f t="shared" si="3"/>
        <v>C2</v>
      </c>
      <c r="Q8" s="51"/>
      <c r="R8" s="51" t="s">
        <v>1542</v>
      </c>
      <c r="S8" s="52">
        <v>0</v>
      </c>
      <c r="T8" s="52">
        <v>0.70223000000000002</v>
      </c>
      <c r="U8" s="52">
        <v>0.92557777777777772</v>
      </c>
    </row>
    <row r="9" spans="1:21" ht="15.75" customHeight="1" x14ac:dyDescent="0.25">
      <c r="A9" s="59" t="s">
        <v>1560</v>
      </c>
      <c r="B9" s="61">
        <v>0.75570000000000004</v>
      </c>
      <c r="C9" s="61">
        <v>0.24429999999999999</v>
      </c>
      <c r="D9" s="61">
        <v>0.24429999999999999</v>
      </c>
      <c r="E9" s="61">
        <v>0.27750000000000002</v>
      </c>
      <c r="F9" s="61">
        <v>0.47060000000000002</v>
      </c>
      <c r="G9" s="61">
        <v>0.79169999999999996</v>
      </c>
      <c r="H9" s="61">
        <v>0.6411</v>
      </c>
      <c r="I9" s="61">
        <v>0.57889999999999997</v>
      </c>
      <c r="J9" s="61">
        <v>0.83189999999999997</v>
      </c>
      <c r="K9" s="61">
        <v>0.44679999999999997</v>
      </c>
      <c r="L9" s="61">
        <v>2.2700000000000001E-2</v>
      </c>
      <c r="M9" s="61">
        <f t="shared" si="0"/>
        <v>1.4576099341044573</v>
      </c>
      <c r="N9" s="61">
        <f t="shared" si="1"/>
        <v>0.64140152493495761</v>
      </c>
      <c r="O9" s="61">
        <f t="shared" si="2"/>
        <v>1.2225295008685177</v>
      </c>
      <c r="P9" s="60" t="str">
        <f t="shared" si="3"/>
        <v>C2</v>
      </c>
      <c r="Q9" s="51"/>
      <c r="R9" s="51" t="s">
        <v>1543</v>
      </c>
      <c r="S9" s="52">
        <v>0</v>
      </c>
      <c r="T9" s="52">
        <v>0.72981000000000007</v>
      </c>
      <c r="U9" s="52">
        <v>0.88888888888888884</v>
      </c>
    </row>
    <row r="10" spans="1:21" ht="15.75" customHeight="1" x14ac:dyDescent="0.25">
      <c r="A10" s="59" t="s">
        <v>1561</v>
      </c>
      <c r="B10" s="61">
        <v>0.17730000000000001</v>
      </c>
      <c r="C10" s="61">
        <v>0.82269999999999999</v>
      </c>
      <c r="D10" s="61">
        <v>0.82269999999999999</v>
      </c>
      <c r="E10" s="61">
        <v>0.11550000000000001</v>
      </c>
      <c r="F10" s="61">
        <v>0.64710000000000001</v>
      </c>
      <c r="G10" s="61">
        <v>0.91669999999999996</v>
      </c>
      <c r="H10" s="61">
        <v>0.82299999999999995</v>
      </c>
      <c r="I10" s="61">
        <v>0.89470000000000005</v>
      </c>
      <c r="J10" s="61">
        <v>0.77310000000000001</v>
      </c>
      <c r="K10" s="61">
        <v>0.46810000000000002</v>
      </c>
      <c r="L10" s="61">
        <v>9.0899999999999995E-2</v>
      </c>
      <c r="M10" s="61">
        <f t="shared" si="0"/>
        <v>2.2852426151286434</v>
      </c>
      <c r="N10" s="61">
        <f t="shared" si="1"/>
        <v>0.69028022149623325</v>
      </c>
      <c r="O10" s="61">
        <f t="shared" si="2"/>
        <v>0.42249900650040262</v>
      </c>
      <c r="P10" s="60" t="str">
        <f t="shared" si="3"/>
        <v>C3</v>
      </c>
      <c r="Q10" s="51"/>
      <c r="R10" s="51" t="s">
        <v>1547</v>
      </c>
      <c r="S10" s="52">
        <v>0.9748</v>
      </c>
      <c r="T10" s="52">
        <v>0.74972666666666676</v>
      </c>
      <c r="U10" s="52">
        <v>0.71288888888888891</v>
      </c>
    </row>
    <row r="11" spans="1:21" ht="15.75" customHeight="1" x14ac:dyDescent="0.25">
      <c r="A11" s="59" t="s">
        <v>1562</v>
      </c>
      <c r="B11" s="61">
        <v>0.51900000000000002</v>
      </c>
      <c r="C11" s="61">
        <v>0.48099999999999998</v>
      </c>
      <c r="D11" s="61">
        <v>0.48099999999999998</v>
      </c>
      <c r="E11" s="61">
        <v>0.21229999999999999</v>
      </c>
      <c r="F11" s="61">
        <v>0.35289999999999999</v>
      </c>
      <c r="G11" s="61">
        <v>0.625</v>
      </c>
      <c r="H11" s="61">
        <v>0.622</v>
      </c>
      <c r="I11" s="61">
        <v>0.73680000000000001</v>
      </c>
      <c r="J11" s="61">
        <v>0.4748</v>
      </c>
      <c r="K11" s="61">
        <v>0.51060000000000005</v>
      </c>
      <c r="L11" s="61">
        <v>0.25</v>
      </c>
      <c r="M11" s="61">
        <f t="shared" si="0"/>
        <v>1.6283907608433548</v>
      </c>
      <c r="N11" s="61">
        <f t="shared" si="1"/>
        <v>0.35892815834865288</v>
      </c>
      <c r="O11" s="61">
        <f t="shared" si="2"/>
        <v>0.90810450172289248</v>
      </c>
      <c r="P11" s="60" t="str">
        <f t="shared" si="3"/>
        <v>C2</v>
      </c>
      <c r="Q11" s="51"/>
      <c r="R11" s="51" t="s">
        <v>1549</v>
      </c>
      <c r="S11" s="52">
        <v>0.23400000000000001</v>
      </c>
      <c r="T11" s="52">
        <v>0.38580999999999999</v>
      </c>
      <c r="U11" s="52">
        <v>0.42788888888888887</v>
      </c>
    </row>
    <row r="12" spans="1:21" ht="15.75" customHeight="1" x14ac:dyDescent="0.25">
      <c r="A12" s="59" t="s">
        <v>1563</v>
      </c>
      <c r="B12" s="61">
        <v>0.1618</v>
      </c>
      <c r="C12" s="61">
        <v>0.83819999999999995</v>
      </c>
      <c r="D12" s="61">
        <v>0.83819999999999995</v>
      </c>
      <c r="E12" s="61">
        <v>8.3799999999999999E-2</v>
      </c>
      <c r="F12" s="61">
        <v>0.70589999999999997</v>
      </c>
      <c r="G12" s="61">
        <v>1</v>
      </c>
      <c r="H12" s="61">
        <v>0.93300000000000005</v>
      </c>
      <c r="I12" s="61">
        <v>0.78949999999999998</v>
      </c>
      <c r="J12" s="61">
        <v>0.57979999999999998</v>
      </c>
      <c r="K12" s="61">
        <v>0.23400000000000001</v>
      </c>
      <c r="L12" s="61">
        <v>0.13639999999999999</v>
      </c>
      <c r="M12" s="61">
        <f t="shared" si="0"/>
        <v>2.3697077773430211</v>
      </c>
      <c r="N12" s="61">
        <f t="shared" si="1"/>
        <v>0.79430269808737819</v>
      </c>
      <c r="O12" s="61">
        <f t="shared" si="2"/>
        <v>0.43882612786139708</v>
      </c>
      <c r="P12" s="60" t="str">
        <f t="shared" si="3"/>
        <v>C3</v>
      </c>
      <c r="Q12" s="51"/>
      <c r="R12" s="51" t="s">
        <v>1550</v>
      </c>
      <c r="S12" s="52">
        <v>0.45450000000000002</v>
      </c>
      <c r="T12" s="52">
        <v>0.33030333333333328</v>
      </c>
      <c r="U12" s="52">
        <v>0.4747555555555556</v>
      </c>
    </row>
    <row r="13" spans="1:21" ht="15.75" customHeight="1" x14ac:dyDescent="0.25">
      <c r="A13" s="59" t="s">
        <v>1564</v>
      </c>
      <c r="B13" s="61">
        <v>0.2944</v>
      </c>
      <c r="C13" s="61">
        <v>0.7056</v>
      </c>
      <c r="D13" s="61">
        <v>0.7056</v>
      </c>
      <c r="E13" s="61">
        <v>0.14149999999999999</v>
      </c>
      <c r="F13" s="61">
        <v>0.47060000000000002</v>
      </c>
      <c r="G13" s="61">
        <v>0.66669999999999996</v>
      </c>
      <c r="H13" s="61">
        <v>0.71289999999999998</v>
      </c>
      <c r="I13" s="61">
        <v>0.68420000000000003</v>
      </c>
      <c r="J13" s="61">
        <v>0.77310000000000001</v>
      </c>
      <c r="K13" s="61">
        <v>0.34039999999999998</v>
      </c>
      <c r="L13" s="61">
        <v>0</v>
      </c>
      <c r="M13" s="61">
        <f t="shared" si="0"/>
        <v>1.8967414083105794</v>
      </c>
      <c r="N13" s="61">
        <f t="shared" si="1"/>
        <v>0.46358400481705814</v>
      </c>
      <c r="O13" s="61">
        <f t="shared" si="2"/>
        <v>0.71319237504838795</v>
      </c>
      <c r="P13" s="60" t="str">
        <f t="shared" si="3"/>
        <v>C2</v>
      </c>
      <c r="Q13" s="51"/>
      <c r="R13" s="51"/>
      <c r="S13" s="51"/>
      <c r="T13" s="51"/>
      <c r="U13" s="51"/>
    </row>
    <row r="14" spans="1:21" ht="15.75" customHeight="1" x14ac:dyDescent="0.25">
      <c r="A14" s="59" t="s">
        <v>1565</v>
      </c>
      <c r="B14" s="61">
        <v>0.41549999999999998</v>
      </c>
      <c r="C14" s="61">
        <v>0.58450000000000002</v>
      </c>
      <c r="D14" s="61">
        <v>0.58450000000000002</v>
      </c>
      <c r="E14" s="61">
        <v>0.19370000000000001</v>
      </c>
      <c r="F14" s="61">
        <v>0.17649999999999999</v>
      </c>
      <c r="G14" s="61">
        <v>0.83330000000000004</v>
      </c>
      <c r="H14" s="61">
        <v>0.76559999999999995</v>
      </c>
      <c r="I14" s="61">
        <v>0.84209999999999996</v>
      </c>
      <c r="J14" s="61">
        <v>0.93279999999999996</v>
      </c>
      <c r="K14" s="61">
        <v>0</v>
      </c>
      <c r="L14" s="61">
        <v>6.8199999999999997E-2</v>
      </c>
      <c r="M14" s="61">
        <f t="shared" si="0"/>
        <v>1.8466964016859946</v>
      </c>
      <c r="N14" s="61">
        <f t="shared" si="1"/>
        <v>0.61752643737378199</v>
      </c>
      <c r="O14" s="61">
        <f t="shared" si="2"/>
        <v>0.9704196219760034</v>
      </c>
      <c r="P14" s="60" t="str">
        <f t="shared" si="3"/>
        <v>C2</v>
      </c>
      <c r="Q14" s="51"/>
      <c r="R14" s="51" t="s">
        <v>1637</v>
      </c>
      <c r="S14" s="51"/>
      <c r="T14" s="51"/>
      <c r="U14" s="51"/>
    </row>
    <row r="15" spans="1:21" ht="15.75" customHeight="1" x14ac:dyDescent="0.25">
      <c r="A15" s="59" t="s">
        <v>1566</v>
      </c>
      <c r="B15" s="61">
        <v>0.16120000000000001</v>
      </c>
      <c r="C15" s="61">
        <v>0.83879999999999999</v>
      </c>
      <c r="D15" s="61">
        <v>0.83879999999999999</v>
      </c>
      <c r="E15" s="61">
        <v>4.8399999999999999E-2</v>
      </c>
      <c r="F15" s="61">
        <v>0.82350000000000001</v>
      </c>
      <c r="G15" s="61">
        <v>0.95830000000000004</v>
      </c>
      <c r="H15" s="61">
        <v>0.98089999999999999</v>
      </c>
      <c r="I15" s="61">
        <v>0.89470000000000005</v>
      </c>
      <c r="J15" s="61">
        <v>0.77729999999999999</v>
      </c>
      <c r="K15" s="61">
        <v>0.23400000000000001</v>
      </c>
      <c r="L15" s="61">
        <v>0.93179999999999996</v>
      </c>
      <c r="M15" s="61">
        <f t="shared" si="0"/>
        <v>2.456102672935315</v>
      </c>
      <c r="N15" s="61">
        <f t="shared" si="1"/>
        <v>1.0197595639114589</v>
      </c>
      <c r="O15" s="61">
        <f t="shared" si="2"/>
        <v>0.51253913503094717</v>
      </c>
      <c r="P15" s="60" t="str">
        <f t="shared" si="3"/>
        <v>C3</v>
      </c>
      <c r="Q15" s="51"/>
      <c r="R15" s="51" t="s">
        <v>1638</v>
      </c>
      <c r="S15" s="51"/>
      <c r="T15" s="51"/>
      <c r="U15" s="51"/>
    </row>
    <row r="16" spans="1:21" ht="15.75" customHeight="1" x14ac:dyDescent="0.25">
      <c r="A16" s="59" t="s">
        <v>1567</v>
      </c>
      <c r="B16" s="61">
        <v>0.58850000000000002</v>
      </c>
      <c r="C16" s="61">
        <v>0.41149999999999998</v>
      </c>
      <c r="D16" s="61">
        <v>0.41149999999999998</v>
      </c>
      <c r="E16" s="61">
        <v>0.21970000000000001</v>
      </c>
      <c r="F16" s="61">
        <v>0.4118</v>
      </c>
      <c r="G16" s="61">
        <v>0.625</v>
      </c>
      <c r="H16" s="61">
        <v>0.79430000000000001</v>
      </c>
      <c r="I16" s="61">
        <v>0.89470000000000005</v>
      </c>
      <c r="J16" s="61">
        <v>0.91180000000000005</v>
      </c>
      <c r="K16" s="61">
        <v>0.2979</v>
      </c>
      <c r="L16" s="61">
        <v>0.56820000000000004</v>
      </c>
      <c r="M16" s="61">
        <f t="shared" si="0"/>
        <v>1.6307475954297772</v>
      </c>
      <c r="N16" s="61">
        <f t="shared" si="1"/>
        <v>0.42650738038423475</v>
      </c>
      <c r="O16" s="61">
        <f t="shared" si="2"/>
        <v>0.88670662093216512</v>
      </c>
      <c r="P16" s="60" t="str">
        <f t="shared" si="3"/>
        <v>C2</v>
      </c>
      <c r="Q16" s="51"/>
      <c r="R16" s="51" t="s">
        <v>1639</v>
      </c>
      <c r="S16" s="51"/>
      <c r="T16" s="51"/>
      <c r="U16" s="51"/>
    </row>
    <row r="17" spans="1:21" ht="15.75" customHeight="1" x14ac:dyDescent="0.25">
      <c r="A17" s="59" t="s">
        <v>1568</v>
      </c>
      <c r="B17" s="61">
        <v>0.36259999999999998</v>
      </c>
      <c r="C17" s="61">
        <v>0.63739999999999997</v>
      </c>
      <c r="D17" s="61">
        <v>0.63739999999999997</v>
      </c>
      <c r="E17" s="61">
        <v>0.12479999999999999</v>
      </c>
      <c r="F17" s="61">
        <v>0.52939999999999998</v>
      </c>
      <c r="G17" s="61">
        <v>0.41670000000000001</v>
      </c>
      <c r="H17" s="61">
        <v>0.68420000000000003</v>
      </c>
      <c r="I17" s="61">
        <v>0.68420000000000003</v>
      </c>
      <c r="J17" s="61">
        <v>0.85289999999999999</v>
      </c>
      <c r="K17" s="61">
        <v>0.12770000000000001</v>
      </c>
      <c r="L17" s="61">
        <v>0.4773</v>
      </c>
      <c r="M17" s="61">
        <f t="shared" si="0"/>
        <v>1.6894202289543001</v>
      </c>
      <c r="N17" s="61">
        <f t="shared" si="1"/>
        <v>0.47004533985799934</v>
      </c>
      <c r="O17" s="61">
        <f t="shared" si="2"/>
        <v>0.77843702196163167</v>
      </c>
      <c r="P17" s="60" t="str">
        <f t="shared" si="3"/>
        <v>C2</v>
      </c>
      <c r="Q17" s="51"/>
      <c r="R17" s="51"/>
      <c r="S17" s="51"/>
      <c r="T17" s="51"/>
      <c r="U17" s="51"/>
    </row>
    <row r="18" spans="1:21" ht="15.75" customHeight="1" x14ac:dyDescent="0.25">
      <c r="A18" s="59" t="s">
        <v>1569</v>
      </c>
      <c r="B18" s="61">
        <v>0.45629999999999998</v>
      </c>
      <c r="C18" s="61">
        <v>0.54369999999999996</v>
      </c>
      <c r="D18" s="61">
        <v>0.54369999999999996</v>
      </c>
      <c r="E18" s="61">
        <v>0.2626</v>
      </c>
      <c r="F18" s="61">
        <v>0.23530000000000001</v>
      </c>
      <c r="G18" s="61">
        <v>0.45829999999999999</v>
      </c>
      <c r="H18" s="61">
        <v>0.58850000000000002</v>
      </c>
      <c r="I18" s="61">
        <v>0.57889999999999997</v>
      </c>
      <c r="J18" s="61">
        <v>0.72689999999999999</v>
      </c>
      <c r="K18" s="61">
        <v>0.38300000000000001</v>
      </c>
      <c r="L18" s="61">
        <v>0.43180000000000002</v>
      </c>
      <c r="M18" s="61">
        <f t="shared" si="0"/>
        <v>1.4235513232757013</v>
      </c>
      <c r="N18" s="61">
        <f t="shared" si="1"/>
        <v>0.36477942584830936</v>
      </c>
      <c r="O18" s="61">
        <f t="shared" si="2"/>
        <v>0.97387701792853831</v>
      </c>
      <c r="P18" s="60" t="str">
        <f t="shared" si="3"/>
        <v>C2</v>
      </c>
      <c r="Q18" s="51"/>
      <c r="R18" s="51"/>
      <c r="S18" s="51"/>
      <c r="T18" s="51"/>
      <c r="U18" s="51"/>
    </row>
    <row r="19" spans="1:21" ht="15.75" customHeight="1" x14ac:dyDescent="0.25">
      <c r="A19" s="59" t="s">
        <v>1570</v>
      </c>
      <c r="B19" s="61">
        <v>1</v>
      </c>
      <c r="C19" s="61">
        <v>0</v>
      </c>
      <c r="D19" s="61">
        <v>0</v>
      </c>
      <c r="E19" s="61">
        <v>0.59219999999999995</v>
      </c>
      <c r="F19" s="61">
        <v>0</v>
      </c>
      <c r="G19" s="61">
        <v>0</v>
      </c>
      <c r="H19" s="61">
        <v>0</v>
      </c>
      <c r="I19" s="61">
        <v>0</v>
      </c>
      <c r="J19" s="61">
        <v>0.9748</v>
      </c>
      <c r="K19" s="61">
        <v>0.23400000000000001</v>
      </c>
      <c r="L19" s="61">
        <v>0.45450000000000002</v>
      </c>
      <c r="M19" s="61">
        <f t="shared" si="0"/>
        <v>0</v>
      </c>
      <c r="N19" s="61">
        <f t="shared" si="1"/>
        <v>1.6519090669653163</v>
      </c>
      <c r="O19" s="61">
        <f t="shared" si="2"/>
        <v>2.3246323853806419</v>
      </c>
      <c r="P19" s="60" t="str">
        <f t="shared" si="3"/>
        <v>C1</v>
      </c>
      <c r="Q19" s="51"/>
      <c r="R19" s="51"/>
      <c r="S19" s="51"/>
      <c r="T19" s="51"/>
      <c r="U19" s="51"/>
    </row>
    <row r="20" spans="1:21" ht="15.75" customHeight="1" x14ac:dyDescent="0.25">
      <c r="A20" s="59" t="s">
        <v>1571</v>
      </c>
      <c r="B20" s="61">
        <v>0.32350000000000001</v>
      </c>
      <c r="C20" s="61">
        <v>0.67649999999999999</v>
      </c>
      <c r="D20" s="61">
        <v>0.67649999999999999</v>
      </c>
      <c r="E20" s="61">
        <v>1</v>
      </c>
      <c r="F20" s="61">
        <v>0.29409999999999997</v>
      </c>
      <c r="G20" s="61">
        <v>0.33329999999999999</v>
      </c>
      <c r="H20" s="61">
        <v>0.60770000000000002</v>
      </c>
      <c r="I20" s="61">
        <v>0.84209999999999996</v>
      </c>
      <c r="J20" s="61">
        <v>0.82350000000000001</v>
      </c>
      <c r="K20" s="61">
        <v>0.2979</v>
      </c>
      <c r="L20" s="61">
        <v>0.52270000000000005</v>
      </c>
      <c r="M20" s="61">
        <f t="shared" si="0"/>
        <v>1.6872756532351196</v>
      </c>
      <c r="N20" s="61">
        <f t="shared" si="1"/>
        <v>0.88445169239981036</v>
      </c>
      <c r="O20" s="61">
        <f t="shared" si="2"/>
        <v>1.2607483136985855</v>
      </c>
      <c r="P20" s="60" t="str">
        <f t="shared" si="3"/>
        <v>C2</v>
      </c>
      <c r="Q20" s="51"/>
      <c r="R20" s="51"/>
      <c r="S20" s="51"/>
      <c r="T20" s="51"/>
      <c r="U20" s="51"/>
    </row>
    <row r="21" spans="1:21" ht="15.75" customHeight="1" x14ac:dyDescent="0.25">
      <c r="A21" s="59" t="s">
        <v>1572</v>
      </c>
      <c r="B21" s="61">
        <v>0.60099999999999998</v>
      </c>
      <c r="C21" s="61">
        <v>0.39900000000000002</v>
      </c>
      <c r="D21" s="61">
        <v>0.39900000000000002</v>
      </c>
      <c r="E21" s="61">
        <v>0.28310000000000002</v>
      </c>
      <c r="F21" s="61">
        <v>0.4118</v>
      </c>
      <c r="G21" s="61">
        <v>0.58330000000000004</v>
      </c>
      <c r="H21" s="61">
        <v>0.68899999999999995</v>
      </c>
      <c r="I21" s="61">
        <v>0.78949999999999998</v>
      </c>
      <c r="J21" s="61">
        <v>0.92859999999999998</v>
      </c>
      <c r="K21" s="61">
        <v>0.44679999999999997</v>
      </c>
      <c r="L21" s="61">
        <v>0.43180000000000002</v>
      </c>
      <c r="M21" s="61">
        <f t="shared" si="0"/>
        <v>1.4929597315400038</v>
      </c>
      <c r="N21" s="61">
        <f t="shared" si="1"/>
        <v>0.34245154331995964</v>
      </c>
      <c r="O21" s="61">
        <f t="shared" si="2"/>
        <v>0.94659501045967931</v>
      </c>
      <c r="P21" s="60" t="str">
        <f t="shared" si="3"/>
        <v>C2</v>
      </c>
      <c r="Q21" s="51"/>
      <c r="R21" s="51"/>
      <c r="S21" s="51"/>
      <c r="T21" s="51"/>
      <c r="U21" s="51"/>
    </row>
    <row r="22" spans="1:21" ht="15.75" customHeight="1" x14ac:dyDescent="0.25">
      <c r="A22" s="59" t="s">
        <v>1573</v>
      </c>
      <c r="B22" s="61">
        <v>0.72309999999999997</v>
      </c>
      <c r="C22" s="61">
        <v>0.27689999999999998</v>
      </c>
      <c r="D22" s="61">
        <v>0.27689999999999998</v>
      </c>
      <c r="E22" s="61">
        <v>0.37430000000000002</v>
      </c>
      <c r="F22" s="61">
        <v>0</v>
      </c>
      <c r="G22" s="61">
        <v>0.45829999999999999</v>
      </c>
      <c r="H22" s="61">
        <v>0.45450000000000002</v>
      </c>
      <c r="I22" s="61">
        <v>0.26319999999999999</v>
      </c>
      <c r="J22" s="61">
        <v>0.89500000000000002</v>
      </c>
      <c r="K22" s="61">
        <v>8.5099999999999995E-2</v>
      </c>
      <c r="L22" s="61">
        <v>0.61360000000000003</v>
      </c>
      <c r="M22" s="61">
        <f t="shared" si="0"/>
        <v>0.90401143798073702</v>
      </c>
      <c r="N22" s="61">
        <f t="shared" si="1"/>
        <v>0.96376313662757529</v>
      </c>
      <c r="O22" s="61">
        <f t="shared" si="2"/>
        <v>1.5856597450778944</v>
      </c>
      <c r="P22" s="60" t="str">
        <f t="shared" si="3"/>
        <v>C1</v>
      </c>
      <c r="Q22" s="51"/>
      <c r="R22" s="51"/>
      <c r="S22" s="51"/>
      <c r="T22" s="51"/>
      <c r="U22" s="51"/>
    </row>
    <row r="23" spans="1:21" ht="15.75" customHeight="1" x14ac:dyDescent="0.25">
      <c r="A23" s="59" t="s">
        <v>1574</v>
      </c>
      <c r="B23" s="61">
        <v>0.59350000000000003</v>
      </c>
      <c r="C23" s="61">
        <v>0.40649999999999997</v>
      </c>
      <c r="D23" s="61">
        <v>0.40649999999999997</v>
      </c>
      <c r="E23" s="61">
        <v>0.22720000000000001</v>
      </c>
      <c r="F23" s="61">
        <v>0.29409999999999997</v>
      </c>
      <c r="G23" s="61">
        <v>0.45829999999999999</v>
      </c>
      <c r="H23" s="61">
        <v>0.65069999999999995</v>
      </c>
      <c r="I23" s="61">
        <v>0.52629999999999999</v>
      </c>
      <c r="J23" s="61">
        <v>0.5504</v>
      </c>
      <c r="K23" s="61">
        <v>0.59570000000000001</v>
      </c>
      <c r="L23" s="61">
        <v>0.54549999999999998</v>
      </c>
      <c r="M23" s="61">
        <f t="shared" si="0"/>
        <v>1.3946723199375544</v>
      </c>
      <c r="N23" s="61">
        <f t="shared" si="1"/>
        <v>0.54350748739603916</v>
      </c>
      <c r="O23" s="61">
        <f t="shared" si="2"/>
        <v>1.0983910366452907</v>
      </c>
      <c r="P23" s="60" t="str">
        <f t="shared" si="3"/>
        <v>C2</v>
      </c>
      <c r="Q23" s="51"/>
      <c r="R23" s="51"/>
      <c r="S23" s="51"/>
      <c r="T23" s="51"/>
      <c r="U23" s="51"/>
    </row>
    <row r="24" spans="1:21" ht="15.75" customHeight="1" x14ac:dyDescent="0.25">
      <c r="A24" s="59" t="s">
        <v>1575</v>
      </c>
      <c r="B24" s="61">
        <v>0.2152</v>
      </c>
      <c r="C24" s="61">
        <v>0.78480000000000005</v>
      </c>
      <c r="D24" s="61">
        <v>0.78480000000000005</v>
      </c>
      <c r="E24" s="61">
        <v>0.18060000000000001</v>
      </c>
      <c r="F24" s="61">
        <v>0.47060000000000002</v>
      </c>
      <c r="G24" s="61">
        <v>0.54169999999999996</v>
      </c>
      <c r="H24" s="61">
        <v>0.53590000000000004</v>
      </c>
      <c r="I24" s="61">
        <v>0.52629999999999999</v>
      </c>
      <c r="J24" s="61">
        <v>0</v>
      </c>
      <c r="K24" s="61">
        <v>0.42549999999999999</v>
      </c>
      <c r="L24" s="61">
        <v>0.4773</v>
      </c>
      <c r="M24" s="61">
        <f t="shared" si="0"/>
        <v>2.0208064132914858</v>
      </c>
      <c r="N24" s="61">
        <f t="shared" si="1"/>
        <v>0.92660589511159264</v>
      </c>
      <c r="O24" s="61">
        <f t="shared" si="2"/>
        <v>1.0148487432149376</v>
      </c>
      <c r="P24" s="60" t="str">
        <f t="shared" si="3"/>
        <v>C2</v>
      </c>
      <c r="Q24" s="51"/>
      <c r="R24" s="51"/>
      <c r="S24" s="51"/>
      <c r="T24" s="51"/>
      <c r="U24" s="51"/>
    </row>
    <row r="25" spans="1:21" ht="15.75" customHeight="1" x14ac:dyDescent="0.25">
      <c r="A25" s="59" t="s">
        <v>1576</v>
      </c>
      <c r="B25" s="61">
        <v>0.48170000000000002</v>
      </c>
      <c r="C25" s="61">
        <v>0.51829999999999998</v>
      </c>
      <c r="D25" s="61">
        <v>0.51829999999999998</v>
      </c>
      <c r="E25" s="61">
        <v>0.29609999999999997</v>
      </c>
      <c r="F25" s="61">
        <v>0.35289999999999999</v>
      </c>
      <c r="G25" s="61">
        <v>0.375</v>
      </c>
      <c r="H25" s="61">
        <v>0.57889999999999997</v>
      </c>
      <c r="I25" s="61">
        <v>0.68420000000000003</v>
      </c>
      <c r="J25" s="61">
        <v>0.83189999999999997</v>
      </c>
      <c r="K25" s="61">
        <v>1</v>
      </c>
      <c r="L25" s="61">
        <v>0.54549999999999998</v>
      </c>
      <c r="M25" s="61">
        <f t="shared" si="0"/>
        <v>1.6054455923512327</v>
      </c>
      <c r="N25" s="61">
        <f t="shared" si="1"/>
        <v>0.73576732974645065</v>
      </c>
      <c r="O25" s="61">
        <f t="shared" si="2"/>
        <v>1.1275756685347573</v>
      </c>
      <c r="P25" s="60" t="str">
        <f t="shared" si="3"/>
        <v>C2</v>
      </c>
      <c r="Q25" s="51"/>
      <c r="R25" s="51"/>
      <c r="S25" s="51"/>
      <c r="T25" s="51"/>
      <c r="U25" s="51"/>
    </row>
    <row r="26" spans="1:21" ht="15.75" customHeight="1" x14ac:dyDescent="0.25">
      <c r="A26" s="59" t="s">
        <v>1577</v>
      </c>
      <c r="B26" s="61">
        <v>0.52910000000000001</v>
      </c>
      <c r="C26" s="61">
        <v>0.47089999999999999</v>
      </c>
      <c r="D26" s="61">
        <v>0.47089999999999999</v>
      </c>
      <c r="E26" s="61">
        <v>0.21970000000000001</v>
      </c>
      <c r="F26" s="61">
        <v>0.47060000000000002</v>
      </c>
      <c r="G26" s="61">
        <v>0.83330000000000004</v>
      </c>
      <c r="H26" s="61">
        <v>0.92820000000000003</v>
      </c>
      <c r="I26" s="61">
        <v>0.89470000000000005</v>
      </c>
      <c r="J26" s="61">
        <v>0.65129999999999999</v>
      </c>
      <c r="K26" s="61">
        <v>0.78720000000000001</v>
      </c>
      <c r="L26" s="61">
        <v>0.59089999999999998</v>
      </c>
      <c r="M26" s="61">
        <f t="shared" si="0"/>
        <v>1.952224554194522</v>
      </c>
      <c r="N26" s="61">
        <f t="shared" si="1"/>
        <v>0.60335267977269225</v>
      </c>
      <c r="O26" s="61">
        <f t="shared" si="2"/>
        <v>0.77635243818230193</v>
      </c>
      <c r="P26" s="60" t="str">
        <f t="shared" si="3"/>
        <v>C2</v>
      </c>
      <c r="Q26" s="51"/>
      <c r="R26" s="51"/>
      <c r="S26" s="51"/>
      <c r="T26" s="51"/>
      <c r="U26" s="51"/>
    </row>
    <row r="27" spans="1:21" ht="15.75" customHeight="1" x14ac:dyDescent="0.25">
      <c r="A27" s="59" t="s">
        <v>1578</v>
      </c>
      <c r="B27" s="61">
        <v>0.47339999999999999</v>
      </c>
      <c r="C27" s="61">
        <v>0.52659999999999996</v>
      </c>
      <c r="D27" s="61">
        <v>0.52659999999999996</v>
      </c>
      <c r="E27" s="61">
        <v>0.19550000000000001</v>
      </c>
      <c r="F27" s="61">
        <v>0.47060000000000002</v>
      </c>
      <c r="G27" s="61">
        <v>0.79169999999999996</v>
      </c>
      <c r="H27" s="61">
        <v>0.79430000000000001</v>
      </c>
      <c r="I27" s="61">
        <v>0.68420000000000003</v>
      </c>
      <c r="J27" s="61">
        <v>0.44540000000000002</v>
      </c>
      <c r="K27" s="61">
        <v>0.8085</v>
      </c>
      <c r="L27" s="61">
        <v>0.18179999999999999</v>
      </c>
      <c r="M27" s="61">
        <f t="shared" si="0"/>
        <v>1.9029631762070436</v>
      </c>
      <c r="N27" s="61">
        <f t="shared" si="1"/>
        <v>0.57278083259558266</v>
      </c>
      <c r="O27" s="61">
        <f t="shared" si="2"/>
        <v>0.84641432423583485</v>
      </c>
      <c r="P27" s="60" t="str">
        <f t="shared" si="3"/>
        <v>C2</v>
      </c>
      <c r="Q27" s="51"/>
      <c r="R27" s="51"/>
      <c r="S27" s="51"/>
      <c r="T27" s="51"/>
      <c r="U27" s="51"/>
    </row>
    <row r="28" spans="1:21" ht="15.75" customHeight="1" x14ac:dyDescent="0.25">
      <c r="A28" s="59" t="s">
        <v>1579</v>
      </c>
      <c r="B28" s="61">
        <v>0.73040000000000005</v>
      </c>
      <c r="C28" s="61">
        <v>0.26960000000000001</v>
      </c>
      <c r="D28" s="61">
        <v>0.26960000000000001</v>
      </c>
      <c r="E28" s="61">
        <v>0.35199999999999998</v>
      </c>
      <c r="F28" s="61">
        <v>0</v>
      </c>
      <c r="G28" s="61">
        <v>0.66669999999999996</v>
      </c>
      <c r="H28" s="61">
        <v>0.52629999999999999</v>
      </c>
      <c r="I28" s="61">
        <v>0.42109999999999997</v>
      </c>
      <c r="J28" s="61">
        <v>0.65129999999999999</v>
      </c>
      <c r="K28" s="61">
        <v>0.38300000000000001</v>
      </c>
      <c r="L28" s="61">
        <v>0.34089999999999998</v>
      </c>
      <c r="M28" s="61">
        <f t="shared" si="0"/>
        <v>1.1464346994050729</v>
      </c>
      <c r="N28" s="61">
        <f t="shared" si="1"/>
        <v>0.74807231570365063</v>
      </c>
      <c r="O28" s="61">
        <f t="shared" si="2"/>
        <v>1.4129241508479435</v>
      </c>
      <c r="P28" s="60" t="str">
        <f t="shared" si="3"/>
        <v>C2</v>
      </c>
      <c r="Q28" s="51"/>
      <c r="R28" s="51"/>
      <c r="S28" s="51"/>
      <c r="T28" s="51"/>
      <c r="U28" s="51"/>
    </row>
    <row r="29" spans="1:21" ht="15.75" customHeight="1" x14ac:dyDescent="0.25">
      <c r="A29" s="59" t="s">
        <v>1580</v>
      </c>
      <c r="B29" s="61">
        <v>0.1996</v>
      </c>
      <c r="C29" s="61">
        <v>0.8004</v>
      </c>
      <c r="D29" s="61">
        <v>0.8004</v>
      </c>
      <c r="E29" s="61">
        <v>0.1024</v>
      </c>
      <c r="F29" s="61">
        <v>0.70589999999999997</v>
      </c>
      <c r="G29" s="61">
        <v>0.875</v>
      </c>
      <c r="H29" s="61">
        <v>0.88039999999999996</v>
      </c>
      <c r="I29" s="61">
        <v>0.89470000000000005</v>
      </c>
      <c r="J29" s="61">
        <v>0.68069999999999997</v>
      </c>
      <c r="K29" s="61">
        <v>0.46810000000000002</v>
      </c>
      <c r="L29" s="61">
        <v>0.2273</v>
      </c>
      <c r="M29" s="61">
        <f t="shared" si="0"/>
        <v>2.2790906168908687</v>
      </c>
      <c r="N29" s="61">
        <f t="shared" si="1"/>
        <v>0.65355372504655063</v>
      </c>
      <c r="O29" s="61">
        <f t="shared" si="2"/>
        <v>0.26789991589821682</v>
      </c>
      <c r="P29" s="60" t="str">
        <f t="shared" si="3"/>
        <v>C3</v>
      </c>
      <c r="Q29" s="51"/>
      <c r="R29" s="51"/>
      <c r="S29" s="51"/>
      <c r="T29" s="51"/>
      <c r="U29" s="51"/>
    </row>
    <row r="30" spans="1:21" ht="15.75" customHeight="1" x14ac:dyDescent="0.25">
      <c r="A30" s="59" t="s">
        <v>1581</v>
      </c>
      <c r="B30" s="61">
        <v>0.22650000000000001</v>
      </c>
      <c r="C30" s="61">
        <v>0.77349999999999997</v>
      </c>
      <c r="D30" s="61">
        <v>0.77349999999999997</v>
      </c>
      <c r="E30" s="61">
        <v>6.5199999999999994E-2</v>
      </c>
      <c r="F30" s="61">
        <v>0.64710000000000001</v>
      </c>
      <c r="G30" s="61">
        <v>0.83330000000000004</v>
      </c>
      <c r="H30" s="61">
        <v>0.90910000000000002</v>
      </c>
      <c r="I30" s="61">
        <v>0.68420000000000003</v>
      </c>
      <c r="J30" s="61">
        <v>0.65549999999999997</v>
      </c>
      <c r="K30" s="61">
        <v>0.42549999999999999</v>
      </c>
      <c r="L30" s="61">
        <v>0.11360000000000001</v>
      </c>
      <c r="M30" s="61">
        <f t="shared" si="0"/>
        <v>2.1760498730497884</v>
      </c>
      <c r="N30" s="61">
        <f t="shared" si="1"/>
        <v>0.61629702378173323</v>
      </c>
      <c r="O30" s="61">
        <f t="shared" si="2"/>
        <v>0.44827582957674178</v>
      </c>
      <c r="P30" s="60" t="str">
        <f t="shared" si="3"/>
        <v>C3</v>
      </c>
      <c r="Q30" s="51"/>
      <c r="R30" s="51"/>
      <c r="S30" s="51"/>
      <c r="T30" s="51"/>
      <c r="U30" s="51"/>
    </row>
    <row r="31" spans="1:21" ht="15.75" customHeight="1" x14ac:dyDescent="0.25">
      <c r="A31" s="59" t="s">
        <v>1582</v>
      </c>
      <c r="B31" s="61">
        <v>0.74770000000000003</v>
      </c>
      <c r="C31" s="61">
        <v>0.25230000000000002</v>
      </c>
      <c r="D31" s="61">
        <v>0.25230000000000002</v>
      </c>
      <c r="E31" s="61">
        <v>0.32590000000000002</v>
      </c>
      <c r="F31" s="61">
        <v>0.4118</v>
      </c>
      <c r="G31" s="61">
        <v>0.625</v>
      </c>
      <c r="H31" s="61">
        <v>0.75119999999999998</v>
      </c>
      <c r="I31" s="61">
        <v>0.89470000000000005</v>
      </c>
      <c r="J31" s="61">
        <v>0.78990000000000005</v>
      </c>
      <c r="K31" s="61">
        <v>8.5099999999999995E-2</v>
      </c>
      <c r="L31" s="61">
        <v>0.15909999999999999</v>
      </c>
      <c r="M31" s="61">
        <f t="shared" si="0"/>
        <v>1.526596118821216</v>
      </c>
      <c r="N31" s="61">
        <f t="shared" si="1"/>
        <v>0.63619510701426252</v>
      </c>
      <c r="O31" s="61">
        <f t="shared" si="2"/>
        <v>1.2057623800569057</v>
      </c>
      <c r="P31" s="60" t="str">
        <f t="shared" si="3"/>
        <v>C2</v>
      </c>
      <c r="Q31" s="51"/>
      <c r="R31" s="51"/>
      <c r="S31" s="51"/>
      <c r="T31" s="51"/>
      <c r="U31" s="51"/>
    </row>
    <row r="32" spans="1:21" ht="15.75" customHeight="1" x14ac:dyDescent="0.25">
      <c r="A32" s="59" t="s">
        <v>1583</v>
      </c>
      <c r="B32" s="61">
        <v>0.54239999999999999</v>
      </c>
      <c r="C32" s="61">
        <v>0.45760000000000001</v>
      </c>
      <c r="D32" s="61">
        <v>0.45760000000000001</v>
      </c>
      <c r="E32" s="61">
        <v>0.27929999999999999</v>
      </c>
      <c r="F32" s="61">
        <v>0.47060000000000002</v>
      </c>
      <c r="G32" s="61">
        <v>0.58330000000000004</v>
      </c>
      <c r="H32" s="61">
        <v>0.63160000000000005</v>
      </c>
      <c r="I32" s="61">
        <v>0.73680000000000001</v>
      </c>
      <c r="J32" s="61">
        <v>0.77310000000000001</v>
      </c>
      <c r="K32" s="61">
        <v>0.31909999999999999</v>
      </c>
      <c r="L32" s="61">
        <v>0.4773</v>
      </c>
      <c r="M32" s="61">
        <f t="shared" si="0"/>
        <v>1.5093178856688871</v>
      </c>
      <c r="N32" s="61">
        <f t="shared" si="1"/>
        <v>0.24351179886997035</v>
      </c>
      <c r="O32" s="61">
        <f t="shared" si="2"/>
        <v>0.85606143370181376</v>
      </c>
      <c r="P32" s="60" t="str">
        <f t="shared" si="3"/>
        <v>C2</v>
      </c>
      <c r="Q32" s="51"/>
      <c r="R32" s="51"/>
      <c r="S32" s="51"/>
      <c r="T32" s="51"/>
      <c r="U32" s="51"/>
    </row>
    <row r="33" spans="1:21" ht="15.75" customHeight="1" x14ac:dyDescent="0.25">
      <c r="A33" s="59" t="s">
        <v>1584</v>
      </c>
      <c r="B33" s="61">
        <v>0.22889999999999999</v>
      </c>
      <c r="C33" s="61">
        <v>0.77110000000000001</v>
      </c>
      <c r="D33" s="61">
        <v>0.77110000000000001</v>
      </c>
      <c r="E33" s="61">
        <v>0.1024</v>
      </c>
      <c r="F33" s="61">
        <v>0.70589999999999997</v>
      </c>
      <c r="G33" s="61">
        <v>0.83330000000000004</v>
      </c>
      <c r="H33" s="61">
        <v>0.88039999999999996</v>
      </c>
      <c r="I33" s="61">
        <v>0.78949999999999998</v>
      </c>
      <c r="J33" s="61">
        <v>0.5504</v>
      </c>
      <c r="K33" s="61">
        <v>0.82979999999999998</v>
      </c>
      <c r="L33" s="61">
        <v>0.36359999999999998</v>
      </c>
      <c r="M33" s="61">
        <f t="shared" si="0"/>
        <v>2.2711546820945507</v>
      </c>
      <c r="N33" s="61">
        <f t="shared" si="1"/>
        <v>0.74853548893081145</v>
      </c>
      <c r="O33" s="61">
        <f t="shared" si="2"/>
        <v>0.47690519841117784</v>
      </c>
      <c r="P33" s="60" t="str">
        <f t="shared" si="3"/>
        <v>C3</v>
      </c>
      <c r="Q33" s="51"/>
      <c r="R33" s="51"/>
      <c r="S33" s="51"/>
      <c r="T33" s="51"/>
      <c r="U33" s="51"/>
    </row>
    <row r="34" spans="1:21" ht="15.75" customHeight="1" x14ac:dyDescent="0.25">
      <c r="A34" s="59" t="s">
        <v>1585</v>
      </c>
      <c r="B34" s="61">
        <v>0.55969999999999998</v>
      </c>
      <c r="C34" s="61">
        <v>0.44030000000000002</v>
      </c>
      <c r="D34" s="61">
        <v>0.44030000000000002</v>
      </c>
      <c r="E34" s="61">
        <v>0.22720000000000001</v>
      </c>
      <c r="F34" s="61">
        <v>0.4118</v>
      </c>
      <c r="G34" s="61">
        <v>0.75</v>
      </c>
      <c r="H34" s="61">
        <v>0.72250000000000003</v>
      </c>
      <c r="I34" s="61">
        <v>0.73680000000000001</v>
      </c>
      <c r="J34" s="61">
        <v>0.74790000000000001</v>
      </c>
      <c r="K34" s="61">
        <v>0.44679999999999997</v>
      </c>
      <c r="L34" s="61">
        <v>0.15909999999999999</v>
      </c>
      <c r="M34" s="61">
        <f t="shared" si="0"/>
        <v>1.6418908642172294</v>
      </c>
      <c r="N34" s="61">
        <f t="shared" si="1"/>
        <v>0.27291347992032611</v>
      </c>
      <c r="O34" s="61">
        <f t="shared" si="2"/>
        <v>0.86479437083457034</v>
      </c>
      <c r="P34" s="60" t="str">
        <f t="shared" si="3"/>
        <v>C2</v>
      </c>
      <c r="Q34" s="51"/>
      <c r="R34" s="51"/>
      <c r="S34" s="51"/>
      <c r="T34" s="51"/>
      <c r="U34" s="51"/>
    </row>
    <row r="35" spans="1:21" ht="15.75" customHeight="1" x14ac:dyDescent="0.25">
      <c r="A35" s="59" t="s">
        <v>1586</v>
      </c>
      <c r="B35" s="61">
        <v>0.55520000000000003</v>
      </c>
      <c r="C35" s="61">
        <v>0.44479999999999997</v>
      </c>
      <c r="D35" s="61">
        <v>0.44479999999999997</v>
      </c>
      <c r="E35" s="61">
        <v>0.43020000000000003</v>
      </c>
      <c r="F35" s="61">
        <v>0.35289999999999999</v>
      </c>
      <c r="G35" s="61">
        <v>0.70830000000000004</v>
      </c>
      <c r="H35" s="61">
        <v>0.57889999999999997</v>
      </c>
      <c r="I35" s="61">
        <v>0.73680000000000001</v>
      </c>
      <c r="J35" s="61">
        <v>0.68489999999999995</v>
      </c>
      <c r="K35" s="61">
        <v>0.12770000000000001</v>
      </c>
      <c r="L35" s="61">
        <v>9.0899999999999995E-2</v>
      </c>
      <c r="M35" s="61">
        <f t="shared" si="0"/>
        <v>1.5334792238566521</v>
      </c>
      <c r="N35" s="61">
        <f t="shared" si="1"/>
        <v>0.45243247472842718</v>
      </c>
      <c r="O35" s="61">
        <f t="shared" si="2"/>
        <v>1.0555184494647614</v>
      </c>
      <c r="P35" s="60" t="str">
        <f t="shared" si="3"/>
        <v>C2</v>
      </c>
      <c r="Q35" s="51"/>
      <c r="R35" s="51"/>
      <c r="S35" s="51"/>
      <c r="T35" s="51"/>
      <c r="U35" s="51"/>
    </row>
    <row r="36" spans="1:21" ht="15.75" customHeight="1" x14ac:dyDescent="0.25">
      <c r="A36" s="59" t="s">
        <v>1587</v>
      </c>
      <c r="B36" s="61">
        <v>0</v>
      </c>
      <c r="C36" s="61">
        <v>1</v>
      </c>
      <c r="D36" s="61">
        <v>1</v>
      </c>
      <c r="E36" s="61">
        <v>0</v>
      </c>
      <c r="F36" s="61">
        <v>0.64710000000000001</v>
      </c>
      <c r="G36" s="61">
        <v>0.91669999999999996</v>
      </c>
      <c r="H36" s="61">
        <v>0.97130000000000005</v>
      </c>
      <c r="I36" s="61">
        <v>0.94740000000000002</v>
      </c>
      <c r="J36" s="61">
        <v>0.73950000000000005</v>
      </c>
      <c r="K36" s="61">
        <v>0.40429999999999999</v>
      </c>
      <c r="L36" s="61">
        <v>0.18179999999999999</v>
      </c>
      <c r="M36" s="61">
        <f t="shared" si="0"/>
        <v>2.5708951865060543</v>
      </c>
      <c r="N36" s="61">
        <f t="shared" si="1"/>
        <v>0.97862848731727037</v>
      </c>
      <c r="O36" s="61">
        <f t="shared" si="2"/>
        <v>0.47126569109679345</v>
      </c>
      <c r="P36" s="60" t="str">
        <f t="shared" si="3"/>
        <v>C3</v>
      </c>
      <c r="Q36" s="51"/>
      <c r="R36" s="51"/>
      <c r="S36" s="51"/>
      <c r="T36" s="51"/>
      <c r="U36" s="51"/>
    </row>
    <row r="37" spans="1:21" ht="15.75" customHeight="1" x14ac:dyDescent="0.25">
      <c r="A37" s="59" t="s">
        <v>1588</v>
      </c>
      <c r="B37" s="61">
        <v>0.17760000000000001</v>
      </c>
      <c r="C37" s="61">
        <v>0.82240000000000002</v>
      </c>
      <c r="D37" s="61">
        <v>0.82240000000000002</v>
      </c>
      <c r="E37" s="61">
        <v>7.4499999999999997E-2</v>
      </c>
      <c r="F37" s="61">
        <v>0.94120000000000004</v>
      </c>
      <c r="G37" s="61">
        <v>0.95830000000000004</v>
      </c>
      <c r="H37" s="61">
        <v>0.9617</v>
      </c>
      <c r="I37" s="61">
        <v>0.84209999999999996</v>
      </c>
      <c r="J37" s="61">
        <v>0.80669999999999997</v>
      </c>
      <c r="K37" s="61">
        <v>0.10639999999999999</v>
      </c>
      <c r="L37" s="61">
        <v>0.4773</v>
      </c>
      <c r="M37" s="61">
        <f t="shared" si="0"/>
        <v>2.4042240764953666</v>
      </c>
      <c r="N37" s="61">
        <f t="shared" si="1"/>
        <v>0.89186674650545317</v>
      </c>
      <c r="O37" s="61">
        <f t="shared" si="2"/>
        <v>0.38613732365060149</v>
      </c>
      <c r="P37" s="60" t="str">
        <f t="shared" si="3"/>
        <v>C3</v>
      </c>
      <c r="Q37" s="51"/>
      <c r="R37" s="51"/>
      <c r="S37" s="51"/>
      <c r="T37" s="51"/>
      <c r="U37" s="51"/>
    </row>
    <row r="38" spans="1:21" ht="15.75" customHeight="1" x14ac:dyDescent="0.25">
      <c r="A38" s="59" t="s">
        <v>1589</v>
      </c>
      <c r="B38" s="61">
        <v>2.98E-2</v>
      </c>
      <c r="C38" s="61">
        <v>0.97019999999999995</v>
      </c>
      <c r="D38" s="61">
        <v>0.97019999999999995</v>
      </c>
      <c r="E38" s="61">
        <v>2.4199999999999999E-2</v>
      </c>
      <c r="F38" s="61">
        <v>0.88239999999999996</v>
      </c>
      <c r="G38" s="61">
        <v>1</v>
      </c>
      <c r="H38" s="61">
        <v>1</v>
      </c>
      <c r="I38" s="61">
        <v>1</v>
      </c>
      <c r="J38" s="61">
        <v>0.49159999999999998</v>
      </c>
      <c r="K38" s="61">
        <v>0.61699999999999999</v>
      </c>
      <c r="L38" s="61">
        <v>0.4773</v>
      </c>
      <c r="M38" s="61">
        <f t="shared" si="0"/>
        <v>2.7029259997269626</v>
      </c>
      <c r="N38" s="61">
        <f t="shared" si="1"/>
        <v>1.1072283547318602</v>
      </c>
      <c r="O38" s="61">
        <f t="shared" si="2"/>
        <v>0.45193395589823432</v>
      </c>
      <c r="P38" s="60" t="str">
        <f t="shared" si="3"/>
        <v>C3</v>
      </c>
      <c r="Q38" s="51"/>
      <c r="R38" s="51"/>
      <c r="S38" s="51"/>
      <c r="T38" s="51"/>
      <c r="U38" s="51"/>
    </row>
    <row r="39" spans="1:21" ht="15.75" customHeight="1" x14ac:dyDescent="0.25">
      <c r="A39" s="59" t="s">
        <v>1590</v>
      </c>
      <c r="B39" s="61">
        <v>0.2954</v>
      </c>
      <c r="C39" s="61">
        <v>0.7046</v>
      </c>
      <c r="D39" s="61">
        <v>0.7046</v>
      </c>
      <c r="E39" s="61">
        <v>0.1173</v>
      </c>
      <c r="F39" s="61">
        <v>1</v>
      </c>
      <c r="G39" s="61">
        <v>0.75</v>
      </c>
      <c r="H39" s="61">
        <v>0.80859999999999999</v>
      </c>
      <c r="I39" s="61">
        <v>0.84209999999999996</v>
      </c>
      <c r="J39" s="61">
        <v>0.90339999999999998</v>
      </c>
      <c r="K39" s="61">
        <v>0.1915</v>
      </c>
      <c r="L39" s="61">
        <v>0.20449999999999999</v>
      </c>
      <c r="M39" s="61">
        <f t="shared" si="0"/>
        <v>2.1702036932048565</v>
      </c>
      <c r="N39" s="61">
        <f t="shared" si="1"/>
        <v>0.72315343981911762</v>
      </c>
      <c r="O39" s="61">
        <f t="shared" si="2"/>
        <v>0.54633242977802476</v>
      </c>
      <c r="P39" s="60" t="str">
        <f t="shared" si="3"/>
        <v>C3</v>
      </c>
      <c r="Q39" s="51"/>
      <c r="R39" s="51"/>
      <c r="S39" s="51"/>
      <c r="T39" s="51"/>
      <c r="U39" s="51"/>
    </row>
    <row r="40" spans="1:21" ht="15.75" customHeight="1" x14ac:dyDescent="0.25">
      <c r="A40" s="59" t="s">
        <v>1591</v>
      </c>
      <c r="B40" s="61">
        <v>0.52280000000000004</v>
      </c>
      <c r="C40" s="61">
        <v>0.47720000000000001</v>
      </c>
      <c r="D40" s="61">
        <v>0.47720000000000001</v>
      </c>
      <c r="E40" s="61">
        <v>0.21790000000000001</v>
      </c>
      <c r="F40" s="61">
        <v>0.4118</v>
      </c>
      <c r="G40" s="61">
        <v>0.625</v>
      </c>
      <c r="H40" s="61">
        <v>0.65549999999999997</v>
      </c>
      <c r="I40" s="61">
        <v>0.63160000000000005</v>
      </c>
      <c r="J40" s="61">
        <v>0.86550000000000005</v>
      </c>
      <c r="K40" s="61">
        <v>2.1299999999999999E-2</v>
      </c>
      <c r="L40" s="61">
        <v>0.40910000000000002</v>
      </c>
      <c r="M40" s="61">
        <f t="shared" si="0"/>
        <v>1.5070872569297373</v>
      </c>
      <c r="N40" s="61">
        <f t="shared" si="1"/>
        <v>0.42703179216800968</v>
      </c>
      <c r="O40" s="61">
        <f t="shared" si="2"/>
        <v>0.94410928301315034</v>
      </c>
      <c r="P40" s="60" t="str">
        <f t="shared" si="3"/>
        <v>C2</v>
      </c>
      <c r="Q40" s="51"/>
      <c r="R40" s="51"/>
      <c r="S40" s="51"/>
      <c r="T40" s="51"/>
      <c r="U40" s="51"/>
    </row>
    <row r="41" spans="1:21" ht="15.75" customHeight="1" x14ac:dyDescent="0.25">
      <c r="A41" s="59" t="s">
        <v>1592</v>
      </c>
      <c r="B41" s="61">
        <v>0.29060000000000002</v>
      </c>
      <c r="C41" s="61">
        <v>0.70940000000000003</v>
      </c>
      <c r="D41" s="61">
        <v>0.70940000000000003</v>
      </c>
      <c r="E41" s="61">
        <v>0.13780000000000001</v>
      </c>
      <c r="F41" s="61">
        <v>0.70589999999999997</v>
      </c>
      <c r="G41" s="61">
        <v>0.79169999999999996</v>
      </c>
      <c r="H41" s="61">
        <v>0.86599999999999999</v>
      </c>
      <c r="I41" s="61">
        <v>0.94740000000000002</v>
      </c>
      <c r="J41" s="61">
        <v>0.89500000000000002</v>
      </c>
      <c r="K41" s="61">
        <v>0.31909999999999999</v>
      </c>
      <c r="L41" s="61">
        <v>0.4773</v>
      </c>
      <c r="M41" s="61">
        <f t="shared" si="0"/>
        <v>2.1220180937023132</v>
      </c>
      <c r="N41" s="61">
        <f t="shared" si="1"/>
        <v>0.5575464161743745</v>
      </c>
      <c r="O41" s="61">
        <f t="shared" si="2"/>
        <v>0.32274057597816241</v>
      </c>
      <c r="P41" s="60" t="str">
        <f t="shared" si="3"/>
        <v>C3</v>
      </c>
      <c r="Q41" s="51"/>
      <c r="R41" s="51"/>
      <c r="S41" s="51"/>
      <c r="T41" s="51"/>
      <c r="U41" s="51"/>
    </row>
    <row r="42" spans="1:21" ht="15.75" customHeight="1" x14ac:dyDescent="0.25">
      <c r="A42" s="59" t="s">
        <v>1593</v>
      </c>
      <c r="B42" s="61">
        <v>0.59430000000000005</v>
      </c>
      <c r="C42" s="61">
        <v>0.40570000000000001</v>
      </c>
      <c r="D42" s="61">
        <v>0.40570000000000001</v>
      </c>
      <c r="E42" s="61">
        <v>0.18809999999999999</v>
      </c>
      <c r="F42" s="61">
        <v>0.52939999999999998</v>
      </c>
      <c r="G42" s="61">
        <v>0.625</v>
      </c>
      <c r="H42" s="61">
        <v>0.77510000000000001</v>
      </c>
      <c r="I42" s="61">
        <v>0.89470000000000005</v>
      </c>
      <c r="J42" s="61">
        <v>0.72270000000000001</v>
      </c>
      <c r="K42" s="61">
        <v>0.87229999999999996</v>
      </c>
      <c r="L42" s="61">
        <v>0.84089999999999998</v>
      </c>
      <c r="M42" s="61">
        <f t="shared" si="0"/>
        <v>1.8301688446698026</v>
      </c>
      <c r="N42" s="61">
        <f t="shared" si="1"/>
        <v>0.77553882313452815</v>
      </c>
      <c r="O42" s="61">
        <f t="shared" si="2"/>
        <v>0.99764687052664325</v>
      </c>
      <c r="P42" s="60" t="str">
        <f t="shared" si="3"/>
        <v>C2</v>
      </c>
      <c r="Q42" s="51"/>
      <c r="R42" s="51"/>
      <c r="S42" s="51"/>
      <c r="T42" s="51"/>
      <c r="U42" s="51"/>
    </row>
    <row r="43" spans="1:21" ht="15.75" customHeight="1" x14ac:dyDescent="0.25">
      <c r="A43" s="59" t="s">
        <v>1594</v>
      </c>
      <c r="B43" s="61">
        <v>0.31469999999999998</v>
      </c>
      <c r="C43" s="61">
        <v>0.68530000000000002</v>
      </c>
      <c r="D43" s="61">
        <v>0.68530000000000002</v>
      </c>
      <c r="E43" s="61">
        <v>0.8417</v>
      </c>
      <c r="F43" s="61">
        <v>0.58819999999999995</v>
      </c>
      <c r="G43" s="61">
        <v>0.66669999999999996</v>
      </c>
      <c r="H43" s="61">
        <v>0.77510000000000001</v>
      </c>
      <c r="I43" s="61">
        <v>1</v>
      </c>
      <c r="J43" s="61">
        <v>0.64290000000000003</v>
      </c>
      <c r="K43" s="61">
        <v>0.61699999999999999</v>
      </c>
      <c r="L43" s="61">
        <v>0.5</v>
      </c>
      <c r="M43" s="61">
        <f t="shared" si="0"/>
        <v>2.0301043125908578</v>
      </c>
      <c r="N43" s="61">
        <f t="shared" si="1"/>
        <v>0.75793317659862913</v>
      </c>
      <c r="O43" s="61">
        <f t="shared" si="2"/>
        <v>0.88942304922563553</v>
      </c>
      <c r="P43" s="60" t="str">
        <f t="shared" si="3"/>
        <v>C2</v>
      </c>
      <c r="Q43" s="51"/>
      <c r="R43" s="51"/>
      <c r="S43" s="51"/>
      <c r="T43" s="51"/>
      <c r="U43" s="51"/>
    </row>
    <row r="44" spans="1:21" ht="15.75" customHeight="1" x14ac:dyDescent="0.25">
      <c r="A44" s="59" t="s">
        <v>1595</v>
      </c>
      <c r="B44" s="61">
        <v>0.18429999999999999</v>
      </c>
      <c r="C44" s="61">
        <v>0.81569999999999998</v>
      </c>
      <c r="D44" s="61">
        <v>0.81569999999999998</v>
      </c>
      <c r="E44" s="61">
        <v>0.13220000000000001</v>
      </c>
      <c r="F44" s="61">
        <v>0.35289999999999999</v>
      </c>
      <c r="G44" s="61">
        <v>0.79169999999999996</v>
      </c>
      <c r="H44" s="61">
        <v>0.6986</v>
      </c>
      <c r="I44" s="61">
        <v>0.73680000000000001</v>
      </c>
      <c r="J44" s="61">
        <v>0.93279999999999996</v>
      </c>
      <c r="K44" s="61">
        <v>0.34039999999999998</v>
      </c>
      <c r="L44" s="61">
        <v>0.2273</v>
      </c>
      <c r="M44" s="61">
        <f t="shared" si="0"/>
        <v>2.0136155963837785</v>
      </c>
      <c r="N44" s="61">
        <f t="shared" si="1"/>
        <v>0.56535091832909889</v>
      </c>
      <c r="O44" s="61">
        <f t="shared" si="2"/>
        <v>0.61610506268947751</v>
      </c>
      <c r="P44" s="60" t="str">
        <f t="shared" si="3"/>
        <v>C2</v>
      </c>
      <c r="Q44" s="51"/>
      <c r="R44" s="51"/>
      <c r="S44" s="51"/>
      <c r="T44" s="51"/>
      <c r="U44" s="51"/>
    </row>
    <row r="45" spans="1:21" x14ac:dyDescent="0.25">
      <c r="A45" s="51"/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</row>
    <row r="46" spans="1:21" x14ac:dyDescent="0.25">
      <c r="A46" s="51"/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</row>
    <row r="47" spans="1:21" x14ac:dyDescent="0.25">
      <c r="A47" s="96" t="s">
        <v>1649</v>
      </c>
      <c r="B47" s="89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</row>
    <row r="48" spans="1:21" x14ac:dyDescent="0.25">
      <c r="A48" s="54" t="s">
        <v>1650</v>
      </c>
      <c r="B48" s="54">
        <f>COUNTIF(P5:P44,"C1")</f>
        <v>2</v>
      </c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</row>
    <row r="49" spans="1:21" x14ac:dyDescent="0.25">
      <c r="A49" s="54" t="s">
        <v>1651</v>
      </c>
      <c r="B49" s="54">
        <f>COUNTIF(P5:P44,"C2")</f>
        <v>25</v>
      </c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</row>
    <row r="50" spans="1:21" x14ac:dyDescent="0.25">
      <c r="A50" s="54" t="s">
        <v>1652</v>
      </c>
      <c r="B50" s="54">
        <f>COUNTIF(P5:P44,"C3")</f>
        <v>13</v>
      </c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</row>
  </sheetData>
  <mergeCells count="1">
    <mergeCell ref="A47:B4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19"/>
  <sheetViews>
    <sheetView workbookViewId="0"/>
  </sheetViews>
  <sheetFormatPr defaultRowHeight="15" x14ac:dyDescent="0.25"/>
  <cols>
    <col min="1" max="4" width="18" customWidth="1"/>
  </cols>
  <sheetData>
    <row r="1" spans="1:4" x14ac:dyDescent="0.25">
      <c r="A1" s="51" t="s">
        <v>1653</v>
      </c>
      <c r="B1" s="51"/>
      <c r="C1" s="51"/>
      <c r="D1" s="51"/>
    </row>
    <row r="2" spans="1:4" x14ac:dyDescent="0.25">
      <c r="A2" s="51" t="s">
        <v>1654</v>
      </c>
      <c r="B2" s="51"/>
      <c r="C2" s="51"/>
      <c r="D2" s="51"/>
    </row>
    <row r="3" spans="1:4" x14ac:dyDescent="0.25">
      <c r="A3" s="51"/>
      <c r="B3" s="51"/>
      <c r="C3" s="51"/>
      <c r="D3" s="51"/>
    </row>
    <row r="4" spans="1:4" x14ac:dyDescent="0.25">
      <c r="A4" s="51" t="s">
        <v>1598</v>
      </c>
      <c r="B4" s="51" t="s">
        <v>1655</v>
      </c>
      <c r="C4" s="51" t="s">
        <v>1656</v>
      </c>
      <c r="D4" s="75" t="s">
        <v>1657</v>
      </c>
    </row>
    <row r="5" spans="1:4" x14ac:dyDescent="0.25">
      <c r="A5" s="51" t="s">
        <v>45</v>
      </c>
      <c r="B5" s="76">
        <f>AVERAGEIF('Anggota Iterasi 2'!$M$2:$M$41,"C1",'Anggota Iterasi 2'!$B$2:$B$41)</f>
        <v>0.86155000000000004</v>
      </c>
      <c r="C5" s="76">
        <f>AVERAGEIF('Anggota Iterasi 2'!$M$2:$M$41,"C2",'Anggota Iterasi 2'!$B$2:$B$41)</f>
        <v>0.483352</v>
      </c>
      <c r="D5" s="76">
        <f>AVERAGEIF('Anggota Iterasi 2'!$M$2:$M$41,"C3",'Anggota Iterasi 2'!$B$2:$B$41)</f>
        <v>0.2075153846153846</v>
      </c>
    </row>
    <row r="6" spans="1:4" x14ac:dyDescent="0.25">
      <c r="A6" s="51" t="s">
        <v>1596</v>
      </c>
      <c r="B6" s="76">
        <f>AVERAGEIF('Anggota Iterasi 2'!$M$2:$M$41,"C1",'Anggota Iterasi 2'!$C$2:$C$41)</f>
        <v>0.13844999999999999</v>
      </c>
      <c r="C6" s="76">
        <f>AVERAGEIF('Anggota Iterasi 2'!$M$2:$M$41,"C2",'Anggota Iterasi 2'!$C$2:$C$41)</f>
        <v>0.516648</v>
      </c>
      <c r="D6" s="76">
        <f>AVERAGEIF('Anggota Iterasi 2'!$M$2:$M$41,"C3",'Anggota Iterasi 2'!$C$2:$C$41)</f>
        <v>0.79248461538461534</v>
      </c>
    </row>
    <row r="7" spans="1:4" x14ac:dyDescent="0.25">
      <c r="A7" s="51" t="s">
        <v>46</v>
      </c>
      <c r="B7" s="76">
        <f>AVERAGEIF('Anggota Iterasi 2'!$M$2:$M$41,"C1",'Anggota Iterasi 2'!$D$2:$D$41)</f>
        <v>0.13844999999999999</v>
      </c>
      <c r="C7" s="76">
        <f>AVERAGEIF('Anggota Iterasi 2'!$M$2:$M$41,"C2",'Anggota Iterasi 2'!$D$2:$D$41)</f>
        <v>0.516648</v>
      </c>
      <c r="D7" s="76">
        <f>AVERAGEIF('Anggota Iterasi 2'!$M$2:$M$41,"C3",'Anggota Iterasi 2'!$D$2:$D$41)</f>
        <v>0.79248461538461534</v>
      </c>
    </row>
    <row r="8" spans="1:4" x14ac:dyDescent="0.25">
      <c r="A8" s="51" t="s">
        <v>1597</v>
      </c>
      <c r="B8" s="76">
        <f>AVERAGEIF('Anggota Iterasi 2'!$M$2:$M$41,"C1",'Anggota Iterasi 2'!$E$2:$E$41)</f>
        <v>0.48324999999999996</v>
      </c>
      <c r="C8" s="76">
        <f>AVERAGEIF('Anggota Iterasi 2'!$M$2:$M$41,"C2",'Anggota Iterasi 2'!$E$2:$E$41)</f>
        <v>0.30086000000000007</v>
      </c>
      <c r="D8" s="76">
        <f>AVERAGEIF('Anggota Iterasi 2'!$M$2:$M$41,"C3",'Anggota Iterasi 2'!$E$2:$E$41)</f>
        <v>8.9676923076923085E-2</v>
      </c>
    </row>
    <row r="9" spans="1:4" x14ac:dyDescent="0.25">
      <c r="A9" s="51" t="s">
        <v>1539</v>
      </c>
      <c r="B9" s="76">
        <f>AVERAGEIF('Anggota Iterasi 2'!$M$2:$M$41,"C1",'Anggota Iterasi 2'!$F$2:$F$41)</f>
        <v>0</v>
      </c>
      <c r="C9" s="76">
        <f>AVERAGEIF('Anggota Iterasi 2'!$M$2:$M$41,"C2",'Anggota Iterasi 2'!$F$2:$F$41)</f>
        <v>0.41412000000000004</v>
      </c>
      <c r="D9" s="76">
        <f>AVERAGEIF('Anggota Iterasi 2'!$M$2:$M$41,"C3",'Anggota Iterasi 2'!$F$2:$F$41)</f>
        <v>0.76019999999999999</v>
      </c>
    </row>
    <row r="10" spans="1:4" x14ac:dyDescent="0.25">
      <c r="A10" s="51" t="s">
        <v>1541</v>
      </c>
      <c r="B10" s="76">
        <f>AVERAGEIF('Anggota Iterasi 2'!$M$2:$M$41,"C1",'Anggota Iterasi 2'!$G$2:$G$41)</f>
        <v>0.22914999999999999</v>
      </c>
      <c r="C10" s="76">
        <f>AVERAGEIF('Anggota Iterasi 2'!$M$2:$M$41,"C2",'Anggota Iterasi 2'!$G$2:$G$41)</f>
        <v>0.64</v>
      </c>
      <c r="D10" s="76">
        <f>AVERAGEIF('Anggota Iterasi 2'!$M$2:$M$41,"C3",'Anggota Iterasi 2'!$G$2:$G$41)</f>
        <v>0.90063846153846161</v>
      </c>
    </row>
    <row r="11" spans="1:4" x14ac:dyDescent="0.25">
      <c r="A11" s="51" t="s">
        <v>1542</v>
      </c>
      <c r="B11" s="76">
        <f>AVERAGEIF('Anggota Iterasi 2'!$M$2:$M$41,"C1",'Anggota Iterasi 2'!$H$2:$H$41)</f>
        <v>0.22725000000000001</v>
      </c>
      <c r="C11" s="76">
        <f>AVERAGEIF('Anggota Iterasi 2'!$M$2:$M$41,"C2",'Anggota Iterasi 2'!$H$2:$H$41)</f>
        <v>0.68803599999999987</v>
      </c>
      <c r="D11" s="76">
        <f>AVERAGEIF('Anggota Iterasi 2'!$M$2:$M$41,"C3",'Anggota Iterasi 2'!$H$2:$H$41)</f>
        <v>0.90320769230769227</v>
      </c>
    </row>
    <row r="12" spans="1:4" x14ac:dyDescent="0.25">
      <c r="A12" s="51" t="s">
        <v>1543</v>
      </c>
      <c r="B12" s="76">
        <f>AVERAGEIF('Anggota Iterasi 2'!$M$2:$M$41,"C1",'Anggota Iterasi 2'!$I$2:$I$41)</f>
        <v>0.13159999999999999</v>
      </c>
      <c r="C12" s="76">
        <f>AVERAGEIF('Anggota Iterasi 2'!$M$2:$M$41,"C2",'Anggota Iterasi 2'!$I$2:$I$41)</f>
        <v>0.73682400000000003</v>
      </c>
      <c r="D12" s="76">
        <f>AVERAGEIF('Anggota Iterasi 2'!$M$2:$M$41,"C3",'Anggota Iterasi 2'!$I$2:$I$41)</f>
        <v>0.86234615384615387</v>
      </c>
    </row>
    <row r="13" spans="1:4" x14ac:dyDescent="0.25">
      <c r="A13" s="51" t="s">
        <v>1547</v>
      </c>
      <c r="B13" s="76">
        <f>AVERAGEIF('Anggota Iterasi 2'!$M$2:$M$41,"C1",'Anggota Iterasi 2'!$J$2:$J$41)</f>
        <v>0.93490000000000006</v>
      </c>
      <c r="C13" s="76">
        <f>AVERAGEIF('Anggota Iterasi 2'!$M$2:$M$41,"C2",'Anggota Iterasi 2'!$J$2:$J$41)</f>
        <v>0.73949999999999994</v>
      </c>
      <c r="D13" s="76">
        <f>AVERAGEIF('Anggota Iterasi 2'!$M$2:$M$41,"C3",'Anggota Iterasi 2'!$J$2:$J$41)</f>
        <v>0.73271538461538455</v>
      </c>
    </row>
    <row r="14" spans="1:4" x14ac:dyDescent="0.25">
      <c r="A14" s="51" t="s">
        <v>1549</v>
      </c>
      <c r="B14" s="76">
        <f>AVERAGEIF('Anggota Iterasi 2'!$M$2:$M$41,"C1",'Anggota Iterasi 2'!$K$2:$K$41)</f>
        <v>0.15955</v>
      </c>
      <c r="C14" s="76">
        <f>AVERAGEIF('Anggota Iterasi 2'!$M$2:$M$41,"C2",'Anggota Iterasi 2'!$K$2:$K$41)</f>
        <v>0.40254800000000013</v>
      </c>
      <c r="D14" s="76">
        <f>AVERAGEIF('Anggota Iterasi 2'!$M$2:$M$41,"C3",'Anggota Iterasi 2'!$K$2:$K$41)</f>
        <v>0.40588461538461534</v>
      </c>
    </row>
    <row r="15" spans="1:4" x14ac:dyDescent="0.25">
      <c r="A15" s="51" t="s">
        <v>1550</v>
      </c>
      <c r="B15" s="76">
        <f>AVERAGEIF('Anggota Iterasi 2'!$M$2:$M$41,"C1",'Anggota Iterasi 2'!$L$2:$L$41)</f>
        <v>0.53405000000000002</v>
      </c>
      <c r="C15" s="76">
        <f>AVERAGEIF('Anggota Iterasi 2'!$M$2:$M$41,"C2",'Anggota Iterasi 2'!$L$2:$L$41)</f>
        <v>0.34636799999999995</v>
      </c>
      <c r="D15" s="76">
        <f>AVERAGEIF('Anggota Iterasi 2'!$M$2:$M$41,"C3",'Anggota Iterasi 2'!$L$2:$L$41)</f>
        <v>0.37762307692307689</v>
      </c>
    </row>
    <row r="16" spans="1:4" x14ac:dyDescent="0.25">
      <c r="A16" s="51"/>
      <c r="B16" s="51"/>
      <c r="C16" s="51"/>
      <c r="D16" s="51"/>
    </row>
    <row r="17" spans="1:4" x14ac:dyDescent="0.25">
      <c r="A17" s="51" t="s">
        <v>1644</v>
      </c>
      <c r="B17" s="52">
        <v>2</v>
      </c>
      <c r="C17" s="52">
        <v>25</v>
      </c>
      <c r="D17" s="52">
        <v>13</v>
      </c>
    </row>
    <row r="18" spans="1:4" x14ac:dyDescent="0.25">
      <c r="A18" s="51"/>
      <c r="B18" s="51"/>
      <c r="C18" s="51"/>
      <c r="D18" s="51"/>
    </row>
    <row r="19" spans="1:4" x14ac:dyDescent="0.25">
      <c r="A19" s="51" t="s">
        <v>1658</v>
      </c>
      <c r="B19" s="51" t="s">
        <v>1659</v>
      </c>
      <c r="C19" s="51"/>
      <c r="D19" s="51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Z44"/>
  <sheetViews>
    <sheetView workbookViewId="0"/>
  </sheetViews>
  <sheetFormatPr defaultRowHeight="15" x14ac:dyDescent="0.25"/>
  <cols>
    <col min="1" max="17" width="17" customWidth="1"/>
    <col min="18" max="21" width="17" hidden="1" customWidth="1"/>
    <col min="22" max="26" width="17" customWidth="1"/>
  </cols>
  <sheetData>
    <row r="1" spans="1:26" x14ac:dyDescent="0.25">
      <c r="A1" s="51" t="s">
        <v>1660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 t="s">
        <v>1598</v>
      </c>
      <c r="S1" s="51" t="s">
        <v>1655</v>
      </c>
      <c r="T1" s="51" t="s">
        <v>1656</v>
      </c>
      <c r="U1" s="51" t="s">
        <v>1657</v>
      </c>
      <c r="V1" s="51"/>
      <c r="W1" s="51" t="s">
        <v>1661</v>
      </c>
      <c r="X1" s="51"/>
      <c r="Y1" s="51"/>
      <c r="Z1" s="51"/>
    </row>
    <row r="2" spans="1:26" x14ac:dyDescent="0.25">
      <c r="A2" s="51" t="s">
        <v>1662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 t="s">
        <v>45</v>
      </c>
      <c r="S2" s="52">
        <v>0.86155000000000004</v>
      </c>
      <c r="T2" s="52">
        <v>0.483352</v>
      </c>
      <c r="U2" s="52">
        <v>0.2075153846153846</v>
      </c>
      <c r="V2" s="51"/>
      <c r="W2" s="51"/>
      <c r="X2" s="51"/>
      <c r="Y2" s="51"/>
      <c r="Z2" s="51"/>
    </row>
    <row r="3" spans="1:26" x14ac:dyDescent="0.25">
      <c r="A3" s="51"/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 t="s">
        <v>1596</v>
      </c>
      <c r="S3" s="52">
        <v>0.13844999999999999</v>
      </c>
      <c r="T3" s="52">
        <v>0.516648</v>
      </c>
      <c r="U3" s="52">
        <v>0.79248461538461545</v>
      </c>
      <c r="V3" s="51"/>
      <c r="W3" s="51"/>
      <c r="X3" s="51"/>
      <c r="Y3" s="51"/>
      <c r="Z3" s="51"/>
    </row>
    <row r="4" spans="1:26" x14ac:dyDescent="0.25">
      <c r="A4" s="75" t="s">
        <v>1621</v>
      </c>
      <c r="B4" s="75" t="s">
        <v>1622</v>
      </c>
      <c r="C4" s="75" t="s">
        <v>1623</v>
      </c>
      <c r="D4" s="75" t="s">
        <v>1624</v>
      </c>
      <c r="E4" s="75" t="s">
        <v>1625</v>
      </c>
      <c r="F4" s="75" t="s">
        <v>1626</v>
      </c>
      <c r="G4" s="75" t="s">
        <v>1627</v>
      </c>
      <c r="H4" s="75" t="s">
        <v>1628</v>
      </c>
      <c r="I4" s="75" t="s">
        <v>1629</v>
      </c>
      <c r="J4" s="75" t="s">
        <v>1630</v>
      </c>
      <c r="K4" s="75" t="s">
        <v>1631</v>
      </c>
      <c r="L4" s="75" t="s">
        <v>1632</v>
      </c>
      <c r="M4" s="75" t="s">
        <v>1633</v>
      </c>
      <c r="N4" s="75" t="s">
        <v>1634</v>
      </c>
      <c r="O4" s="75" t="s">
        <v>1635</v>
      </c>
      <c r="P4" s="75" t="s">
        <v>1636</v>
      </c>
      <c r="Q4" s="75"/>
      <c r="R4" s="75" t="s">
        <v>46</v>
      </c>
      <c r="S4" s="78">
        <v>0.13844999999999999</v>
      </c>
      <c r="T4" s="78">
        <v>0.516648</v>
      </c>
      <c r="U4" s="78">
        <v>0.79248461538461545</v>
      </c>
      <c r="V4" s="75"/>
      <c r="W4" s="75" t="s">
        <v>1663</v>
      </c>
      <c r="X4" s="75" t="s">
        <v>1664</v>
      </c>
      <c r="Y4" s="75" t="s">
        <v>1665</v>
      </c>
      <c r="Z4" s="75" t="s">
        <v>1666</v>
      </c>
    </row>
    <row r="5" spans="1:26" x14ac:dyDescent="0.25">
      <c r="A5" s="51" t="s">
        <v>1555</v>
      </c>
      <c r="B5" s="52">
        <v>0.46339999999999998</v>
      </c>
      <c r="C5" s="52">
        <v>0.53659999999999997</v>
      </c>
      <c r="D5" s="52">
        <v>0.53659999999999997</v>
      </c>
      <c r="E5" s="52">
        <v>0.17879999999999999</v>
      </c>
      <c r="F5" s="52">
        <v>0.76470000000000005</v>
      </c>
      <c r="G5" s="52">
        <v>0.91669999999999996</v>
      </c>
      <c r="H5" s="52">
        <v>0.85650000000000004</v>
      </c>
      <c r="I5" s="52">
        <v>0.89470000000000005</v>
      </c>
      <c r="J5" s="52">
        <v>0.89500000000000002</v>
      </c>
      <c r="K5" s="52">
        <v>0.63829999999999998</v>
      </c>
      <c r="L5" s="52">
        <v>1</v>
      </c>
      <c r="M5" s="52">
        <f t="shared" ref="M5:M44" si="0">SQRT((B5-0.8616)^2+(C5-0.1384)^2+(D5-0.1384)^2+(E5-0.4832)^2+(F5-0)^2+(G5-0.2291)^2+(H5-0.2273)^2+(I5-0.1316)^2+(J5-0.9349)^2+(K5-0.1595)^2+(L5-0.5341)^2)</f>
        <v>1.7470052776108034</v>
      </c>
      <c r="N5" s="52">
        <f t="shared" ref="N5:N44" si="1">SQRT((B5-0.4834)^2+(C5-0.5166)^2+(D5-0.5166)^2+(E5-0.3009)^2+(F5-0.4141)^2+(G5-0.64)^2+(H5-0.688)^2+(I5-0.7368)^2+(J5-0.7395)^2+(K5-0.4025)^2+(L5-0.3464)^2)</f>
        <v>0.88084684820915371</v>
      </c>
      <c r="O5" s="52">
        <f t="shared" ref="O5:O44" si="2">SQRT((B5-0.2075)^2+(C5-0.7925)^2+(D5-0.7925)^2+(E5-0.0897)^2+(F5-0.7602)^2+(G5-0.9006)^2+(H5-0.9032)^2+(I5-0.8623)^2+(J5-0.7327)^2+(K5-0.4059)^2+(L5-0.3776)^2)</f>
        <v>0.82197089972820814</v>
      </c>
      <c r="P5" s="51" t="str">
        <f t="shared" ref="P5:P44" si="3">IF(M5=MIN(M5:O5),"C1",IF(N5=MIN(M5:O5),"C2","C3"))</f>
        <v>C3</v>
      </c>
      <c r="Q5" s="51"/>
      <c r="R5" s="51"/>
      <c r="S5" s="51"/>
      <c r="T5" s="51"/>
      <c r="U5" s="51"/>
      <c r="V5" s="51"/>
      <c r="W5" s="52">
        <v>1.74697776459805</v>
      </c>
      <c r="X5" s="52">
        <v>0.88082978747996488</v>
      </c>
      <c r="Y5" s="52">
        <v>0.82194073794063205</v>
      </c>
      <c r="Z5" s="51" t="s">
        <v>1639</v>
      </c>
    </row>
    <row r="6" spans="1:26" x14ac:dyDescent="0.25">
      <c r="A6" s="51" t="s">
        <v>1557</v>
      </c>
      <c r="B6" s="52">
        <v>0.30759999999999998</v>
      </c>
      <c r="C6" s="52">
        <v>0.69240000000000002</v>
      </c>
      <c r="D6" s="52">
        <v>0.69240000000000002</v>
      </c>
      <c r="E6" s="52">
        <v>0.15640000000000001</v>
      </c>
      <c r="F6" s="52">
        <v>0.70589999999999997</v>
      </c>
      <c r="G6" s="52">
        <v>0.79169999999999996</v>
      </c>
      <c r="H6" s="52">
        <v>0.70330000000000004</v>
      </c>
      <c r="I6" s="52">
        <v>0.84209999999999996</v>
      </c>
      <c r="J6" s="52">
        <v>1</v>
      </c>
      <c r="K6" s="52">
        <v>0.10639999999999999</v>
      </c>
      <c r="L6" s="52">
        <v>0.13639999999999999</v>
      </c>
      <c r="M6" s="52">
        <f t="shared" si="0"/>
        <v>1.654983072420984</v>
      </c>
      <c r="N6" s="52">
        <f t="shared" si="1"/>
        <v>0.65781071745601705</v>
      </c>
      <c r="O6" s="52">
        <f t="shared" si="2"/>
        <v>0.55588816321270951</v>
      </c>
      <c r="P6" s="51" t="str">
        <f t="shared" si="3"/>
        <v>C3</v>
      </c>
      <c r="Q6" s="51"/>
      <c r="R6" s="51" t="s">
        <v>1597</v>
      </c>
      <c r="S6" s="52">
        <v>0.48325000000000001</v>
      </c>
      <c r="T6" s="52">
        <v>0.30086000000000002</v>
      </c>
      <c r="U6" s="52">
        <v>8.9676923076923071E-2</v>
      </c>
      <c r="V6" s="51"/>
      <c r="W6" s="52">
        <v>1.654929711498347</v>
      </c>
      <c r="X6" s="52">
        <v>0.65776129508507875</v>
      </c>
      <c r="Y6" s="52">
        <v>0.55588893100102965</v>
      </c>
      <c r="Z6" s="51" t="s">
        <v>1639</v>
      </c>
    </row>
    <row r="7" spans="1:26" x14ac:dyDescent="0.25">
      <c r="A7" s="51" t="s">
        <v>1558</v>
      </c>
      <c r="B7" s="52">
        <v>0.28560000000000002</v>
      </c>
      <c r="C7" s="52">
        <v>0.71440000000000003</v>
      </c>
      <c r="D7" s="52">
        <v>0.71440000000000003</v>
      </c>
      <c r="E7" s="52">
        <v>0.11550000000000001</v>
      </c>
      <c r="F7" s="52">
        <v>0.70589999999999997</v>
      </c>
      <c r="G7" s="52">
        <v>0.95830000000000004</v>
      </c>
      <c r="H7" s="52">
        <v>0.87080000000000002</v>
      </c>
      <c r="I7" s="52">
        <v>0.78949999999999998</v>
      </c>
      <c r="J7" s="52">
        <v>0.77729999999999999</v>
      </c>
      <c r="K7" s="52">
        <v>0.34039999999999998</v>
      </c>
      <c r="L7" s="52">
        <v>0.2273</v>
      </c>
      <c r="M7" s="52">
        <f t="shared" si="0"/>
        <v>1.7774060340845026</v>
      </c>
      <c r="N7" s="52">
        <f t="shared" si="1"/>
        <v>0.62759302099370107</v>
      </c>
      <c r="O7" s="52">
        <f t="shared" si="2"/>
        <v>0.24588889767535252</v>
      </c>
      <c r="P7" s="51" t="str">
        <f t="shared" si="3"/>
        <v>C3</v>
      </c>
      <c r="Q7" s="51"/>
      <c r="R7" s="51" t="s">
        <v>1539</v>
      </c>
      <c r="S7" s="52">
        <v>0</v>
      </c>
      <c r="T7" s="52">
        <v>0.41411999999999999</v>
      </c>
      <c r="U7" s="52">
        <v>0.76019999999999999</v>
      </c>
      <c r="V7" s="51"/>
      <c r="W7" s="52">
        <v>1.777351642191269</v>
      </c>
      <c r="X7" s="52">
        <v>0.62751270243079549</v>
      </c>
      <c r="Y7" s="52">
        <v>0.2458895416368711</v>
      </c>
      <c r="Z7" s="51" t="s">
        <v>1639</v>
      </c>
    </row>
    <row r="8" spans="1:26" x14ac:dyDescent="0.25">
      <c r="A8" s="51" t="s">
        <v>1559</v>
      </c>
      <c r="B8" s="52">
        <v>0.4153</v>
      </c>
      <c r="C8" s="52">
        <v>0.5847</v>
      </c>
      <c r="D8" s="52">
        <v>0.5847</v>
      </c>
      <c r="E8" s="52">
        <v>0.5363</v>
      </c>
      <c r="F8" s="52">
        <v>0.70589999999999997</v>
      </c>
      <c r="G8" s="52">
        <v>0.83330000000000004</v>
      </c>
      <c r="H8" s="52">
        <v>0.78949999999999998</v>
      </c>
      <c r="I8" s="52">
        <v>0.84209999999999996</v>
      </c>
      <c r="J8" s="52">
        <v>0.94120000000000004</v>
      </c>
      <c r="K8" s="52">
        <v>0.27660000000000001</v>
      </c>
      <c r="L8" s="52">
        <v>0.20449999999999999</v>
      </c>
      <c r="M8" s="52">
        <f t="shared" si="0"/>
        <v>1.5514478657048068</v>
      </c>
      <c r="N8" s="52">
        <f t="shared" si="1"/>
        <v>0.53842155417479332</v>
      </c>
      <c r="O8" s="52">
        <f t="shared" si="2"/>
        <v>0.66329626864622104</v>
      </c>
      <c r="P8" s="51" t="str">
        <f t="shared" si="3"/>
        <v>C2</v>
      </c>
      <c r="Q8" s="51"/>
      <c r="R8" s="51" t="s">
        <v>1541</v>
      </c>
      <c r="S8" s="52">
        <v>0.22914999999999999</v>
      </c>
      <c r="T8" s="52">
        <v>0.64</v>
      </c>
      <c r="U8" s="52">
        <v>0.9006384615384615</v>
      </c>
      <c r="V8" s="51"/>
      <c r="W8" s="52">
        <v>1.551387259841978</v>
      </c>
      <c r="X8" s="52">
        <v>0.53840131288101445</v>
      </c>
      <c r="Y8" s="52">
        <v>0.66330216556275223</v>
      </c>
      <c r="Z8" s="51" t="s">
        <v>1638</v>
      </c>
    </row>
    <row r="9" spans="1:26" x14ac:dyDescent="0.25">
      <c r="A9" s="51" t="s">
        <v>1560</v>
      </c>
      <c r="B9" s="52">
        <v>0.75570000000000004</v>
      </c>
      <c r="C9" s="52">
        <v>0.24429999999999999</v>
      </c>
      <c r="D9" s="52">
        <v>0.24429999999999999</v>
      </c>
      <c r="E9" s="52">
        <v>0.27750000000000002</v>
      </c>
      <c r="F9" s="52">
        <v>0.47060000000000002</v>
      </c>
      <c r="G9" s="52">
        <v>0.79169999999999996</v>
      </c>
      <c r="H9" s="52">
        <v>0.6411</v>
      </c>
      <c r="I9" s="52">
        <v>0.57889999999999997</v>
      </c>
      <c r="J9" s="52">
        <v>0.83189999999999997</v>
      </c>
      <c r="K9" s="52">
        <v>0.44679999999999997</v>
      </c>
      <c r="L9" s="52">
        <v>2.2700000000000001E-2</v>
      </c>
      <c r="M9" s="52">
        <f t="shared" si="0"/>
        <v>1.1575525992368554</v>
      </c>
      <c r="N9" s="52">
        <f t="shared" si="1"/>
        <v>0.62578632934892398</v>
      </c>
      <c r="O9" s="52">
        <f t="shared" si="2"/>
        <v>1.1484970004314337</v>
      </c>
      <c r="P9" s="51" t="str">
        <f t="shared" si="3"/>
        <v>C2</v>
      </c>
      <c r="Q9" s="51"/>
      <c r="R9" s="51" t="s">
        <v>1542</v>
      </c>
      <c r="S9" s="52">
        <v>0.22725000000000001</v>
      </c>
      <c r="T9" s="52">
        <v>0.68803599999999998</v>
      </c>
      <c r="U9" s="52">
        <v>0.90320769230769227</v>
      </c>
      <c r="V9" s="51"/>
      <c r="W9" s="52">
        <v>1.15750684231239</v>
      </c>
      <c r="X9" s="52">
        <v>0.62583449961791027</v>
      </c>
      <c r="Y9" s="52">
        <v>1.1485018876419659</v>
      </c>
      <c r="Z9" s="51" t="s">
        <v>1638</v>
      </c>
    </row>
    <row r="10" spans="1:26" x14ac:dyDescent="0.25">
      <c r="A10" s="51" t="s">
        <v>1561</v>
      </c>
      <c r="B10" s="52">
        <v>0.17730000000000001</v>
      </c>
      <c r="C10" s="52">
        <v>0.82269999999999999</v>
      </c>
      <c r="D10" s="52">
        <v>0.82269999999999999</v>
      </c>
      <c r="E10" s="52">
        <v>0.11550000000000001</v>
      </c>
      <c r="F10" s="52">
        <v>0.64710000000000001</v>
      </c>
      <c r="G10" s="52">
        <v>0.91669999999999996</v>
      </c>
      <c r="H10" s="52">
        <v>0.82299999999999995</v>
      </c>
      <c r="I10" s="52">
        <v>0.89470000000000005</v>
      </c>
      <c r="J10" s="52">
        <v>0.77310000000000001</v>
      </c>
      <c r="K10" s="52">
        <v>0.46810000000000002</v>
      </c>
      <c r="L10" s="52">
        <v>9.0899999999999995E-2</v>
      </c>
      <c r="M10" s="52">
        <f t="shared" si="0"/>
        <v>1.9200402261411087</v>
      </c>
      <c r="N10" s="52">
        <f t="shared" si="1"/>
        <v>0.7484561844223081</v>
      </c>
      <c r="O10" s="52">
        <f t="shared" si="2"/>
        <v>0.3341141571379459</v>
      </c>
      <c r="P10" s="51" t="str">
        <f t="shared" si="3"/>
        <v>C3</v>
      </c>
      <c r="Q10" s="51"/>
      <c r="R10" s="51" t="s">
        <v>1543</v>
      </c>
      <c r="S10" s="52">
        <v>0.13159999999999999</v>
      </c>
      <c r="T10" s="52">
        <v>0.73682400000000003</v>
      </c>
      <c r="U10" s="52">
        <v>0.86234615384615387</v>
      </c>
      <c r="V10" s="51"/>
      <c r="W10" s="52">
        <v>1.9199743748289979</v>
      </c>
      <c r="X10" s="52">
        <v>0.74835447250083298</v>
      </c>
      <c r="Y10" s="52">
        <v>0.33413644229716383</v>
      </c>
      <c r="Z10" s="51" t="s">
        <v>1639</v>
      </c>
    </row>
    <row r="11" spans="1:26" x14ac:dyDescent="0.25">
      <c r="A11" s="51" t="s">
        <v>1562</v>
      </c>
      <c r="B11" s="52">
        <v>0.51900000000000002</v>
      </c>
      <c r="C11" s="52">
        <v>0.48099999999999998</v>
      </c>
      <c r="D11" s="52">
        <v>0.48099999999999998</v>
      </c>
      <c r="E11" s="52">
        <v>0.21229999999999999</v>
      </c>
      <c r="F11" s="52">
        <v>0.35289999999999999</v>
      </c>
      <c r="G11" s="52">
        <v>0.625</v>
      </c>
      <c r="H11" s="52">
        <v>0.622</v>
      </c>
      <c r="I11" s="52">
        <v>0.73680000000000001</v>
      </c>
      <c r="J11" s="52">
        <v>0.4748</v>
      </c>
      <c r="K11" s="52">
        <v>0.51060000000000005</v>
      </c>
      <c r="L11" s="52">
        <v>0.25</v>
      </c>
      <c r="M11" s="52">
        <f t="shared" si="0"/>
        <v>1.282387410262593</v>
      </c>
      <c r="N11" s="52">
        <f t="shared" si="1"/>
        <v>0.33320135053747912</v>
      </c>
      <c r="O11" s="52">
        <f t="shared" si="2"/>
        <v>0.8582284719117631</v>
      </c>
      <c r="P11" s="51" t="str">
        <f t="shared" si="3"/>
        <v>C2</v>
      </c>
      <c r="Q11" s="51"/>
      <c r="R11" s="51" t="s">
        <v>1547</v>
      </c>
      <c r="S11" s="52">
        <v>0.93490000000000006</v>
      </c>
      <c r="T11" s="52">
        <v>0.73950000000000005</v>
      </c>
      <c r="U11" s="52">
        <v>0.73271538461538455</v>
      </c>
      <c r="V11" s="51"/>
      <c r="W11" s="52">
        <v>1.282333092452971</v>
      </c>
      <c r="X11" s="52">
        <v>0.333192094311975</v>
      </c>
      <c r="Y11" s="52">
        <v>0.858246571479095</v>
      </c>
      <c r="Z11" s="51" t="s">
        <v>1638</v>
      </c>
    </row>
    <row r="12" spans="1:26" x14ac:dyDescent="0.25">
      <c r="A12" s="51" t="s">
        <v>1563</v>
      </c>
      <c r="B12" s="52">
        <v>0.1618</v>
      </c>
      <c r="C12" s="52">
        <v>0.83819999999999995</v>
      </c>
      <c r="D12" s="52">
        <v>0.83819999999999995</v>
      </c>
      <c r="E12" s="52">
        <v>8.3799999999999999E-2</v>
      </c>
      <c r="F12" s="52">
        <v>0.70589999999999997</v>
      </c>
      <c r="G12" s="52">
        <v>1</v>
      </c>
      <c r="H12" s="52">
        <v>0.93300000000000005</v>
      </c>
      <c r="I12" s="52">
        <v>0.78949999999999998</v>
      </c>
      <c r="J12" s="52">
        <v>0.57979999999999998</v>
      </c>
      <c r="K12" s="52">
        <v>0.23400000000000001</v>
      </c>
      <c r="L12" s="52">
        <v>0.13639999999999999</v>
      </c>
      <c r="M12" s="52">
        <f t="shared" si="0"/>
        <v>1.9854265410737311</v>
      </c>
      <c r="N12" s="52">
        <f t="shared" si="1"/>
        <v>0.85612963971585521</v>
      </c>
      <c r="O12" s="52">
        <f t="shared" si="2"/>
        <v>0.3693541254676872</v>
      </c>
      <c r="P12" s="51" t="str">
        <f t="shared" si="3"/>
        <v>C3</v>
      </c>
      <c r="Q12" s="51"/>
      <c r="R12" s="51" t="s">
        <v>1549</v>
      </c>
      <c r="S12" s="52">
        <v>0.15955</v>
      </c>
      <c r="T12" s="52">
        <v>0.40254800000000002</v>
      </c>
      <c r="U12" s="52">
        <v>0.4058846153846154</v>
      </c>
      <c r="V12" s="51"/>
      <c r="W12" s="52">
        <v>1.9853701997360591</v>
      </c>
      <c r="X12" s="52">
        <v>0.856048409677864</v>
      </c>
      <c r="Y12" s="52">
        <v>0.36937187920567122</v>
      </c>
      <c r="Z12" s="51" t="s">
        <v>1639</v>
      </c>
    </row>
    <row r="13" spans="1:26" x14ac:dyDescent="0.25">
      <c r="A13" s="51" t="s">
        <v>1564</v>
      </c>
      <c r="B13" s="52">
        <v>0.2944</v>
      </c>
      <c r="C13" s="52">
        <v>0.7056</v>
      </c>
      <c r="D13" s="52">
        <v>0.7056</v>
      </c>
      <c r="E13" s="52">
        <v>0.14149999999999999</v>
      </c>
      <c r="F13" s="52">
        <v>0.47060000000000002</v>
      </c>
      <c r="G13" s="52">
        <v>0.66669999999999996</v>
      </c>
      <c r="H13" s="52">
        <v>0.71289999999999998</v>
      </c>
      <c r="I13" s="52">
        <v>0.68420000000000003</v>
      </c>
      <c r="J13" s="52">
        <v>0.77310000000000001</v>
      </c>
      <c r="K13" s="52">
        <v>0.34039999999999998</v>
      </c>
      <c r="L13" s="52">
        <v>0</v>
      </c>
      <c r="M13" s="52">
        <f t="shared" si="0"/>
        <v>1.5427914667899871</v>
      </c>
      <c r="N13" s="52">
        <f t="shared" si="1"/>
        <v>0.51462763237121267</v>
      </c>
      <c r="O13" s="52">
        <f t="shared" si="2"/>
        <v>0.6167279059682641</v>
      </c>
      <c r="P13" s="51" t="str">
        <f t="shared" si="3"/>
        <v>C2</v>
      </c>
      <c r="Q13" s="51"/>
      <c r="R13" s="51" t="s">
        <v>1550</v>
      </c>
      <c r="S13" s="52">
        <v>0.53405000000000002</v>
      </c>
      <c r="T13" s="52">
        <v>0.34636800000000001</v>
      </c>
      <c r="U13" s="52">
        <v>0.37762307692307689</v>
      </c>
      <c r="V13" s="51"/>
      <c r="W13" s="52">
        <v>1.5427257825031639</v>
      </c>
      <c r="X13" s="52">
        <v>0.51454513321184958</v>
      </c>
      <c r="Y13" s="52">
        <v>0.61676512091613789</v>
      </c>
      <c r="Z13" s="51" t="s">
        <v>1638</v>
      </c>
    </row>
    <row r="14" spans="1:26" x14ac:dyDescent="0.25">
      <c r="A14" s="51" t="s">
        <v>1565</v>
      </c>
      <c r="B14" s="52">
        <v>0.41549999999999998</v>
      </c>
      <c r="C14" s="52">
        <v>0.58450000000000002</v>
      </c>
      <c r="D14" s="52">
        <v>0.58450000000000002</v>
      </c>
      <c r="E14" s="52">
        <v>0.19370000000000001</v>
      </c>
      <c r="F14" s="52">
        <v>0.17649999999999999</v>
      </c>
      <c r="G14" s="52">
        <v>0.83330000000000004</v>
      </c>
      <c r="H14" s="52">
        <v>0.76559999999999995</v>
      </c>
      <c r="I14" s="52">
        <v>0.84209999999999996</v>
      </c>
      <c r="J14" s="52">
        <v>0.93279999999999996</v>
      </c>
      <c r="K14" s="52">
        <v>0</v>
      </c>
      <c r="L14" s="52">
        <v>6.8199999999999997E-2</v>
      </c>
      <c r="M14" s="52">
        <f t="shared" si="0"/>
        <v>1.454001506189041</v>
      </c>
      <c r="N14" s="52">
        <f t="shared" si="1"/>
        <v>0.64266472596525781</v>
      </c>
      <c r="O14" s="52">
        <f t="shared" si="2"/>
        <v>0.89761236622497576</v>
      </c>
      <c r="P14" s="51" t="str">
        <f t="shared" si="3"/>
        <v>C2</v>
      </c>
      <c r="Q14" s="51"/>
      <c r="R14" s="51"/>
      <c r="S14" s="51"/>
      <c r="T14" s="51"/>
      <c r="U14" s="51"/>
      <c r="V14" s="51"/>
      <c r="W14" s="52">
        <v>1.4539526436579699</v>
      </c>
      <c r="X14" s="52">
        <v>0.64265817548055826</v>
      </c>
      <c r="Y14" s="52">
        <v>0.89760701770031415</v>
      </c>
      <c r="Z14" s="51" t="s">
        <v>1638</v>
      </c>
    </row>
    <row r="15" spans="1:26" x14ac:dyDescent="0.25">
      <c r="A15" s="51" t="s">
        <v>1566</v>
      </c>
      <c r="B15" s="52">
        <v>0.16120000000000001</v>
      </c>
      <c r="C15" s="52">
        <v>0.83879999999999999</v>
      </c>
      <c r="D15" s="52">
        <v>0.83879999999999999</v>
      </c>
      <c r="E15" s="52">
        <v>4.8399999999999999E-2</v>
      </c>
      <c r="F15" s="52">
        <v>0.82350000000000001</v>
      </c>
      <c r="G15" s="52">
        <v>0.95830000000000004</v>
      </c>
      <c r="H15" s="52">
        <v>0.98089999999999999</v>
      </c>
      <c r="I15" s="52">
        <v>0.89470000000000005</v>
      </c>
      <c r="J15" s="52">
        <v>0.77729999999999999</v>
      </c>
      <c r="K15" s="52">
        <v>0.23400000000000001</v>
      </c>
      <c r="L15" s="52">
        <v>0.93179999999999996</v>
      </c>
      <c r="M15" s="52">
        <f t="shared" si="0"/>
        <v>2.051683279651126</v>
      </c>
      <c r="N15" s="52">
        <f t="shared" si="1"/>
        <v>1.0617697914331525</v>
      </c>
      <c r="O15" s="52">
        <f t="shared" si="2"/>
        <v>0.60102945019358245</v>
      </c>
      <c r="P15" s="51" t="str">
        <f t="shared" si="3"/>
        <v>C3</v>
      </c>
      <c r="Q15" s="51"/>
      <c r="R15" s="51" t="s">
        <v>1637</v>
      </c>
      <c r="S15" s="51"/>
      <c r="T15" s="51"/>
      <c r="U15" s="51"/>
      <c r="V15" s="51"/>
      <c r="W15" s="52">
        <v>2.0516511448099548</v>
      </c>
      <c r="X15" s="52">
        <v>1.0617206356250219</v>
      </c>
      <c r="Y15" s="52">
        <v>0.60099742844215476</v>
      </c>
      <c r="Z15" s="51" t="s">
        <v>1639</v>
      </c>
    </row>
    <row r="16" spans="1:26" x14ac:dyDescent="0.25">
      <c r="A16" s="51" t="s">
        <v>1567</v>
      </c>
      <c r="B16" s="52">
        <v>0.58850000000000002</v>
      </c>
      <c r="C16" s="52">
        <v>0.41149999999999998</v>
      </c>
      <c r="D16" s="52">
        <v>0.41149999999999998</v>
      </c>
      <c r="E16" s="52">
        <v>0.21970000000000001</v>
      </c>
      <c r="F16" s="52">
        <v>0.4118</v>
      </c>
      <c r="G16" s="52">
        <v>0.625</v>
      </c>
      <c r="H16" s="52">
        <v>0.79430000000000001</v>
      </c>
      <c r="I16" s="52">
        <v>0.89470000000000005</v>
      </c>
      <c r="J16" s="52">
        <v>0.91180000000000005</v>
      </c>
      <c r="K16" s="52">
        <v>0.2979</v>
      </c>
      <c r="L16" s="52">
        <v>0.56820000000000004</v>
      </c>
      <c r="M16" s="52">
        <f t="shared" si="0"/>
        <v>1.2426426356760822</v>
      </c>
      <c r="N16" s="52">
        <f t="shared" si="1"/>
        <v>0.40745251257048354</v>
      </c>
      <c r="O16" s="52">
        <f t="shared" si="2"/>
        <v>0.86179989556741077</v>
      </c>
      <c r="P16" s="51" t="str">
        <f t="shared" si="3"/>
        <v>C2</v>
      </c>
      <c r="Q16" s="51"/>
      <c r="R16" s="51" t="s">
        <v>1638</v>
      </c>
      <c r="S16" s="51"/>
      <c r="T16" s="51"/>
      <c r="U16" s="51"/>
      <c r="V16" s="51"/>
      <c r="W16" s="52">
        <v>1.2426229677581211</v>
      </c>
      <c r="X16" s="52">
        <v>0.40749286240620219</v>
      </c>
      <c r="Y16" s="52">
        <v>0.86178428306191834</v>
      </c>
      <c r="Z16" s="51" t="s">
        <v>1638</v>
      </c>
    </row>
    <row r="17" spans="1:26" x14ac:dyDescent="0.25">
      <c r="A17" s="51" t="s">
        <v>1568</v>
      </c>
      <c r="B17" s="52">
        <v>0.36259999999999998</v>
      </c>
      <c r="C17" s="52">
        <v>0.63739999999999997</v>
      </c>
      <c r="D17" s="52">
        <v>0.63739999999999997</v>
      </c>
      <c r="E17" s="52">
        <v>0.12479999999999999</v>
      </c>
      <c r="F17" s="52">
        <v>0.52939999999999998</v>
      </c>
      <c r="G17" s="52">
        <v>0.41670000000000001</v>
      </c>
      <c r="H17" s="52">
        <v>0.68420000000000003</v>
      </c>
      <c r="I17" s="52">
        <v>0.68420000000000003</v>
      </c>
      <c r="J17" s="52">
        <v>0.85289999999999999</v>
      </c>
      <c r="K17" s="52">
        <v>0.12770000000000001</v>
      </c>
      <c r="L17" s="52">
        <v>0.4773</v>
      </c>
      <c r="M17" s="52">
        <f t="shared" si="0"/>
        <v>1.3099608887291254</v>
      </c>
      <c r="N17" s="52">
        <f t="shared" si="1"/>
        <v>0.49622245011688054</v>
      </c>
      <c r="O17" s="52">
        <f t="shared" si="2"/>
        <v>0.73640469172867151</v>
      </c>
      <c r="P17" s="51" t="str">
        <f t="shared" si="3"/>
        <v>C2</v>
      </c>
      <c r="Q17" s="51"/>
      <c r="R17" s="51" t="s">
        <v>1639</v>
      </c>
      <c r="S17" s="51"/>
      <c r="T17" s="51"/>
      <c r="U17" s="51"/>
      <c r="V17" s="51"/>
      <c r="W17" s="52">
        <v>1.309926761311486</v>
      </c>
      <c r="X17" s="52">
        <v>0.49620640918069558</v>
      </c>
      <c r="Y17" s="52">
        <v>0.73642335059514175</v>
      </c>
      <c r="Z17" s="51" t="s">
        <v>1638</v>
      </c>
    </row>
    <row r="18" spans="1:26" x14ac:dyDescent="0.25">
      <c r="A18" s="51" t="s">
        <v>1569</v>
      </c>
      <c r="B18" s="52">
        <v>0.45629999999999998</v>
      </c>
      <c r="C18" s="52">
        <v>0.54369999999999996</v>
      </c>
      <c r="D18" s="52">
        <v>0.54369999999999996</v>
      </c>
      <c r="E18" s="52">
        <v>0.2626</v>
      </c>
      <c r="F18" s="52">
        <v>0.23530000000000001</v>
      </c>
      <c r="G18" s="52">
        <v>0.45829999999999999</v>
      </c>
      <c r="H18" s="52">
        <v>0.58850000000000002</v>
      </c>
      <c r="I18" s="52">
        <v>0.57889999999999997</v>
      </c>
      <c r="J18" s="52">
        <v>0.72689999999999999</v>
      </c>
      <c r="K18" s="52">
        <v>0.38300000000000001</v>
      </c>
      <c r="L18" s="52">
        <v>0.43180000000000002</v>
      </c>
      <c r="M18" s="52">
        <f t="shared" si="0"/>
        <v>1.0409570740429215</v>
      </c>
      <c r="N18" s="52">
        <f t="shared" si="1"/>
        <v>0.33364544055029438</v>
      </c>
      <c r="O18" s="52">
        <f t="shared" si="2"/>
        <v>0.93252097563540082</v>
      </c>
      <c r="P18" s="51" t="str">
        <f t="shared" si="3"/>
        <v>C2</v>
      </c>
      <c r="Q18" s="51"/>
      <c r="R18" s="51"/>
      <c r="S18" s="51"/>
      <c r="T18" s="51"/>
      <c r="U18" s="51"/>
      <c r="V18" s="51"/>
      <c r="W18" s="52">
        <v>1.0408999663752521</v>
      </c>
      <c r="X18" s="52">
        <v>0.33367298079407032</v>
      </c>
      <c r="Y18" s="52">
        <v>0.93254618474710971</v>
      </c>
      <c r="Z18" s="51" t="s">
        <v>1638</v>
      </c>
    </row>
    <row r="19" spans="1:26" x14ac:dyDescent="0.25">
      <c r="A19" s="51" t="s">
        <v>1570</v>
      </c>
      <c r="B19" s="52">
        <v>1</v>
      </c>
      <c r="C19" s="52">
        <v>0</v>
      </c>
      <c r="D19" s="52">
        <v>0</v>
      </c>
      <c r="E19" s="52">
        <v>0.59219999999999995</v>
      </c>
      <c r="F19" s="52">
        <v>0</v>
      </c>
      <c r="G19" s="52">
        <v>0</v>
      </c>
      <c r="H19" s="52">
        <v>0</v>
      </c>
      <c r="I19" s="52">
        <v>0</v>
      </c>
      <c r="J19" s="52">
        <v>0.9748</v>
      </c>
      <c r="K19" s="52">
        <v>0.23400000000000001</v>
      </c>
      <c r="L19" s="52">
        <v>0.45450000000000002</v>
      </c>
      <c r="M19" s="52">
        <f t="shared" si="0"/>
        <v>0.45198867242443147</v>
      </c>
      <c r="N19" s="52">
        <f t="shared" si="1"/>
        <v>1.6056847044174021</v>
      </c>
      <c r="O19" s="52">
        <f t="shared" si="2"/>
        <v>2.2757562611140938</v>
      </c>
      <c r="P19" s="51" t="str">
        <f t="shared" si="3"/>
        <v>C1</v>
      </c>
      <c r="Q19" s="51"/>
      <c r="R19" s="51"/>
      <c r="S19" s="51"/>
      <c r="T19" s="51"/>
      <c r="U19" s="51"/>
      <c r="V19" s="51"/>
      <c r="W19" s="52">
        <v>0.45200571899036851</v>
      </c>
      <c r="X19" s="52">
        <v>1.605777079706894</v>
      </c>
      <c r="Y19" s="52">
        <v>2.275777468452739</v>
      </c>
      <c r="Z19" s="51" t="s">
        <v>1637</v>
      </c>
    </row>
    <row r="20" spans="1:26" x14ac:dyDescent="0.25">
      <c r="A20" s="51" t="s">
        <v>1571</v>
      </c>
      <c r="B20" s="52">
        <v>0.32350000000000001</v>
      </c>
      <c r="C20" s="52">
        <v>0.67649999999999999</v>
      </c>
      <c r="D20" s="52">
        <v>0.67649999999999999</v>
      </c>
      <c r="E20" s="52">
        <v>1</v>
      </c>
      <c r="F20" s="52">
        <v>0.29409999999999997</v>
      </c>
      <c r="G20" s="52">
        <v>0.33329999999999999</v>
      </c>
      <c r="H20" s="52">
        <v>0.60770000000000002</v>
      </c>
      <c r="I20" s="52">
        <v>0.84209999999999996</v>
      </c>
      <c r="J20" s="52">
        <v>0.82350000000000001</v>
      </c>
      <c r="K20" s="52">
        <v>0.2979</v>
      </c>
      <c r="L20" s="52">
        <v>0.52270000000000005</v>
      </c>
      <c r="M20" s="52">
        <f t="shared" si="0"/>
        <v>1.3835817323165265</v>
      </c>
      <c r="N20" s="52">
        <f t="shared" si="1"/>
        <v>0.86053748320453771</v>
      </c>
      <c r="O20" s="52">
        <f t="shared" si="2"/>
        <v>1.2396707345097728</v>
      </c>
      <c r="P20" s="51" t="str">
        <f t="shared" si="3"/>
        <v>C2</v>
      </c>
      <c r="Q20" s="51"/>
      <c r="R20" s="51"/>
      <c r="S20" s="51"/>
      <c r="T20" s="51"/>
      <c r="U20" s="51"/>
      <c r="V20" s="51"/>
      <c r="W20" s="52">
        <v>1.383509291620407</v>
      </c>
      <c r="X20" s="52">
        <v>0.86055883175527281</v>
      </c>
      <c r="Y20" s="52">
        <v>1.2396983816459639</v>
      </c>
      <c r="Z20" s="51" t="s">
        <v>1638</v>
      </c>
    </row>
    <row r="21" spans="1:26" x14ac:dyDescent="0.25">
      <c r="A21" s="51" t="s">
        <v>1572</v>
      </c>
      <c r="B21" s="52">
        <v>0.60099999999999998</v>
      </c>
      <c r="C21" s="52">
        <v>0.39900000000000002</v>
      </c>
      <c r="D21" s="52">
        <v>0.39900000000000002</v>
      </c>
      <c r="E21" s="52">
        <v>0.28310000000000002</v>
      </c>
      <c r="F21" s="52">
        <v>0.4118</v>
      </c>
      <c r="G21" s="52">
        <v>0.58330000000000004</v>
      </c>
      <c r="H21" s="52">
        <v>0.68899999999999995</v>
      </c>
      <c r="I21" s="52">
        <v>0.78949999999999998</v>
      </c>
      <c r="J21" s="52">
        <v>0.92859999999999998</v>
      </c>
      <c r="K21" s="52">
        <v>0.44679999999999997</v>
      </c>
      <c r="L21" s="52">
        <v>0.43180000000000002</v>
      </c>
      <c r="M21" s="52">
        <f t="shared" si="0"/>
        <v>1.1304244954883098</v>
      </c>
      <c r="N21" s="52">
        <f t="shared" si="1"/>
        <v>0.30466218997440414</v>
      </c>
      <c r="O21" s="52">
        <f t="shared" si="2"/>
        <v>0.90452247069931868</v>
      </c>
      <c r="P21" s="51" t="str">
        <f t="shared" si="3"/>
        <v>C2</v>
      </c>
      <c r="Q21" s="51"/>
      <c r="R21" s="51"/>
      <c r="S21" s="51"/>
      <c r="T21" s="51"/>
      <c r="U21" s="51"/>
      <c r="V21" s="51"/>
      <c r="W21" s="52">
        <v>1.1303862968030001</v>
      </c>
      <c r="X21" s="52">
        <v>0.30471332775577759</v>
      </c>
      <c r="Y21" s="52">
        <v>0.90452233875221411</v>
      </c>
      <c r="Z21" s="51" t="s">
        <v>1638</v>
      </c>
    </row>
    <row r="22" spans="1:26" x14ac:dyDescent="0.25">
      <c r="A22" s="51" t="s">
        <v>1573</v>
      </c>
      <c r="B22" s="52">
        <v>0.72309999999999997</v>
      </c>
      <c r="C22" s="52">
        <v>0.27689999999999998</v>
      </c>
      <c r="D22" s="52">
        <v>0.27689999999999998</v>
      </c>
      <c r="E22" s="52">
        <v>0.37430000000000002</v>
      </c>
      <c r="F22" s="52">
        <v>0</v>
      </c>
      <c r="G22" s="52">
        <v>0.45829999999999999</v>
      </c>
      <c r="H22" s="52">
        <v>0.45450000000000002</v>
      </c>
      <c r="I22" s="52">
        <v>0.26319999999999999</v>
      </c>
      <c r="J22" s="52">
        <v>0.89500000000000002</v>
      </c>
      <c r="K22" s="52">
        <v>8.5099999999999995E-2</v>
      </c>
      <c r="L22" s="52">
        <v>0.61360000000000003</v>
      </c>
      <c r="M22" s="52">
        <f t="shared" si="0"/>
        <v>0.45202280915900694</v>
      </c>
      <c r="N22" s="52">
        <f t="shared" si="1"/>
        <v>0.92595226118844809</v>
      </c>
      <c r="O22" s="52">
        <f t="shared" si="2"/>
        <v>1.5483097235372514</v>
      </c>
      <c r="P22" s="51" t="str">
        <f t="shared" si="3"/>
        <v>C1</v>
      </c>
      <c r="Q22" s="51"/>
      <c r="R22" s="51"/>
      <c r="S22" s="51"/>
      <c r="T22" s="51"/>
      <c r="U22" s="51"/>
      <c r="V22" s="51"/>
      <c r="W22" s="52">
        <v>0.45200571899036862</v>
      </c>
      <c r="X22" s="52">
        <v>0.92604869726812966</v>
      </c>
      <c r="Y22" s="52">
        <v>1.5483213549598971</v>
      </c>
      <c r="Z22" s="51" t="s">
        <v>1637</v>
      </c>
    </row>
    <row r="23" spans="1:26" x14ac:dyDescent="0.25">
      <c r="A23" s="51" t="s">
        <v>1574</v>
      </c>
      <c r="B23" s="52">
        <v>0.59350000000000003</v>
      </c>
      <c r="C23" s="52">
        <v>0.40649999999999997</v>
      </c>
      <c r="D23" s="52">
        <v>0.40649999999999997</v>
      </c>
      <c r="E23" s="52">
        <v>0.22720000000000001</v>
      </c>
      <c r="F23" s="52">
        <v>0.29409999999999997</v>
      </c>
      <c r="G23" s="52">
        <v>0.45829999999999999</v>
      </c>
      <c r="H23" s="52">
        <v>0.65069999999999995</v>
      </c>
      <c r="I23" s="52">
        <v>0.52629999999999999</v>
      </c>
      <c r="J23" s="52">
        <v>0.5504</v>
      </c>
      <c r="K23" s="52">
        <v>0.59570000000000001</v>
      </c>
      <c r="L23" s="52">
        <v>0.54549999999999998</v>
      </c>
      <c r="M23" s="52">
        <f t="shared" si="0"/>
        <v>1.0457019556259806</v>
      </c>
      <c r="N23" s="52">
        <f t="shared" si="1"/>
        <v>0.49763441400289032</v>
      </c>
      <c r="O23" s="52">
        <f t="shared" si="2"/>
        <v>1.0737191159702804</v>
      </c>
      <c r="P23" s="51" t="str">
        <f t="shared" si="3"/>
        <v>C2</v>
      </c>
      <c r="Q23" s="51"/>
      <c r="R23" s="51"/>
      <c r="S23" s="51"/>
      <c r="T23" s="51"/>
      <c r="U23" s="51"/>
      <c r="V23" s="51"/>
      <c r="W23" s="52">
        <v>1.045664721600571</v>
      </c>
      <c r="X23" s="52">
        <v>0.49767220307346888</v>
      </c>
      <c r="Y23" s="52">
        <v>1.073739300006616</v>
      </c>
      <c r="Z23" s="51" t="s">
        <v>1638</v>
      </c>
    </row>
    <row r="24" spans="1:26" x14ac:dyDescent="0.25">
      <c r="A24" s="51" t="s">
        <v>1575</v>
      </c>
      <c r="B24" s="52">
        <v>0.2152</v>
      </c>
      <c r="C24" s="52">
        <v>0.78480000000000005</v>
      </c>
      <c r="D24" s="52">
        <v>0.78480000000000005</v>
      </c>
      <c r="E24" s="52">
        <v>0.18060000000000001</v>
      </c>
      <c r="F24" s="52">
        <v>0.47060000000000002</v>
      </c>
      <c r="G24" s="52">
        <v>0.54169999999999996</v>
      </c>
      <c r="H24" s="52">
        <v>0.53590000000000004</v>
      </c>
      <c r="I24" s="52">
        <v>0.52629999999999999</v>
      </c>
      <c r="J24" s="52">
        <v>0</v>
      </c>
      <c r="K24" s="52">
        <v>0.42549999999999999</v>
      </c>
      <c r="L24" s="52">
        <v>0.4773</v>
      </c>
      <c r="M24" s="52">
        <f t="shared" si="0"/>
        <v>1.6921261950575672</v>
      </c>
      <c r="N24" s="52">
        <f t="shared" si="1"/>
        <v>0.93546227609669019</v>
      </c>
      <c r="O24" s="52">
        <f t="shared" si="2"/>
        <v>1.008016309391867</v>
      </c>
      <c r="P24" s="51" t="str">
        <f t="shared" si="3"/>
        <v>C2</v>
      </c>
      <c r="Q24" s="51"/>
      <c r="R24" s="51"/>
      <c r="S24" s="51"/>
      <c r="T24" s="51"/>
      <c r="U24" s="51"/>
      <c r="V24" s="51"/>
      <c r="W24" s="52">
        <v>1.6920681842053531</v>
      </c>
      <c r="X24" s="52">
        <v>0.93542919738053942</v>
      </c>
      <c r="Y24" s="52">
        <v>1.008059120554218</v>
      </c>
      <c r="Z24" s="51" t="s">
        <v>1638</v>
      </c>
    </row>
    <row r="25" spans="1:26" x14ac:dyDescent="0.25">
      <c r="A25" s="51" t="s">
        <v>1576</v>
      </c>
      <c r="B25" s="52">
        <v>0.48170000000000002</v>
      </c>
      <c r="C25" s="52">
        <v>0.51829999999999998</v>
      </c>
      <c r="D25" s="52">
        <v>0.51829999999999998</v>
      </c>
      <c r="E25" s="52">
        <v>0.29609999999999997</v>
      </c>
      <c r="F25" s="52">
        <v>0.35289999999999999</v>
      </c>
      <c r="G25" s="52">
        <v>0.375</v>
      </c>
      <c r="H25" s="52">
        <v>0.57889999999999997</v>
      </c>
      <c r="I25" s="52">
        <v>0.68420000000000003</v>
      </c>
      <c r="J25" s="52">
        <v>0.83189999999999997</v>
      </c>
      <c r="K25" s="52">
        <v>1</v>
      </c>
      <c r="L25" s="52">
        <v>0.54549999999999998</v>
      </c>
      <c r="M25" s="52">
        <f t="shared" si="0"/>
        <v>1.3266394348126396</v>
      </c>
      <c r="N25" s="52">
        <f t="shared" si="1"/>
        <v>0.70274927250051278</v>
      </c>
      <c r="O25" s="52">
        <f t="shared" si="2"/>
        <v>1.1127364872241765</v>
      </c>
      <c r="P25" s="51" t="str">
        <f t="shared" si="3"/>
        <v>C2</v>
      </c>
      <c r="Q25" s="51"/>
      <c r="R25" s="51"/>
      <c r="S25" s="51"/>
      <c r="T25" s="51"/>
      <c r="U25" s="51"/>
      <c r="V25" s="51"/>
      <c r="W25" s="52">
        <v>1.326580042816867</v>
      </c>
      <c r="X25" s="52">
        <v>0.70272604257420257</v>
      </c>
      <c r="Y25" s="52">
        <v>1.112760553651734</v>
      </c>
      <c r="Z25" s="51" t="s">
        <v>1638</v>
      </c>
    </row>
    <row r="26" spans="1:26" x14ac:dyDescent="0.25">
      <c r="A26" s="51" t="s">
        <v>1577</v>
      </c>
      <c r="B26" s="52">
        <v>0.52910000000000001</v>
      </c>
      <c r="C26" s="52">
        <v>0.47089999999999999</v>
      </c>
      <c r="D26" s="52">
        <v>0.47089999999999999</v>
      </c>
      <c r="E26" s="52">
        <v>0.21970000000000001</v>
      </c>
      <c r="F26" s="52">
        <v>0.47060000000000002</v>
      </c>
      <c r="G26" s="52">
        <v>0.83330000000000004</v>
      </c>
      <c r="H26" s="52">
        <v>0.92820000000000003</v>
      </c>
      <c r="I26" s="52">
        <v>0.89470000000000005</v>
      </c>
      <c r="J26" s="52">
        <v>0.65129999999999999</v>
      </c>
      <c r="K26" s="52">
        <v>0.78720000000000001</v>
      </c>
      <c r="L26" s="52">
        <v>0.59089999999999998</v>
      </c>
      <c r="M26" s="52">
        <f t="shared" si="0"/>
        <v>1.593382537245843</v>
      </c>
      <c r="N26" s="52">
        <f t="shared" si="1"/>
        <v>0.59295706421291583</v>
      </c>
      <c r="O26" s="52">
        <f t="shared" si="2"/>
        <v>0.78406914873625788</v>
      </c>
      <c r="P26" s="51" t="str">
        <f t="shared" si="3"/>
        <v>C2</v>
      </c>
      <c r="Q26" s="51"/>
      <c r="R26" s="51"/>
      <c r="S26" s="51"/>
      <c r="T26" s="51"/>
      <c r="U26" s="51"/>
      <c r="V26" s="51"/>
      <c r="W26" s="52">
        <v>1.593344630015741</v>
      </c>
      <c r="X26" s="52">
        <v>0.59292186914634892</v>
      </c>
      <c r="Y26" s="52">
        <v>0.78405799760570483</v>
      </c>
      <c r="Z26" s="51" t="s">
        <v>1638</v>
      </c>
    </row>
    <row r="27" spans="1:26" x14ac:dyDescent="0.25">
      <c r="A27" s="51" t="s">
        <v>1578</v>
      </c>
      <c r="B27" s="52">
        <v>0.47339999999999999</v>
      </c>
      <c r="C27" s="52">
        <v>0.52659999999999996</v>
      </c>
      <c r="D27" s="52">
        <v>0.52659999999999996</v>
      </c>
      <c r="E27" s="52">
        <v>0.19550000000000001</v>
      </c>
      <c r="F27" s="52">
        <v>0.47060000000000002</v>
      </c>
      <c r="G27" s="52">
        <v>0.79169999999999996</v>
      </c>
      <c r="H27" s="52">
        <v>0.79430000000000001</v>
      </c>
      <c r="I27" s="52">
        <v>0.68420000000000003</v>
      </c>
      <c r="J27" s="52">
        <v>0.44540000000000002</v>
      </c>
      <c r="K27" s="52">
        <v>0.8085</v>
      </c>
      <c r="L27" s="52">
        <v>0.18179999999999999</v>
      </c>
      <c r="M27" s="52">
        <f t="shared" si="0"/>
        <v>1.5762723210156298</v>
      </c>
      <c r="N27" s="52">
        <f t="shared" si="1"/>
        <v>0.57454740448460828</v>
      </c>
      <c r="O27" s="52">
        <f t="shared" si="2"/>
        <v>0.80347616641690123</v>
      </c>
      <c r="P27" s="51" t="str">
        <f t="shared" si="3"/>
        <v>C2</v>
      </c>
      <c r="Q27" s="51"/>
      <c r="R27" s="51"/>
      <c r="S27" s="51"/>
      <c r="T27" s="51"/>
      <c r="U27" s="51"/>
      <c r="V27" s="51"/>
      <c r="W27" s="52">
        <v>1.5762128885401241</v>
      </c>
      <c r="X27" s="52">
        <v>0.57448805288883076</v>
      </c>
      <c r="Y27" s="52">
        <v>0.80349925407667633</v>
      </c>
      <c r="Z27" s="51" t="s">
        <v>1638</v>
      </c>
    </row>
    <row r="28" spans="1:26" x14ac:dyDescent="0.25">
      <c r="A28" s="51" t="s">
        <v>1579</v>
      </c>
      <c r="B28" s="52">
        <v>0.73040000000000005</v>
      </c>
      <c r="C28" s="52">
        <v>0.26960000000000001</v>
      </c>
      <c r="D28" s="52">
        <v>0.26960000000000001</v>
      </c>
      <c r="E28" s="52">
        <v>0.35199999999999998</v>
      </c>
      <c r="F28" s="52">
        <v>0</v>
      </c>
      <c r="G28" s="52">
        <v>0.66669999999999996</v>
      </c>
      <c r="H28" s="52">
        <v>0.52629999999999999</v>
      </c>
      <c r="I28" s="52">
        <v>0.42109999999999997</v>
      </c>
      <c r="J28" s="52">
        <v>0.65129999999999999</v>
      </c>
      <c r="K28" s="52">
        <v>0.38300000000000001</v>
      </c>
      <c r="L28" s="52">
        <v>0.34089999999999998</v>
      </c>
      <c r="M28" s="52">
        <f t="shared" si="0"/>
        <v>0.77541357996878035</v>
      </c>
      <c r="N28" s="52">
        <f t="shared" si="1"/>
        <v>0.70130808493842423</v>
      </c>
      <c r="O28" s="52">
        <f t="shared" si="2"/>
        <v>1.3663440562318117</v>
      </c>
      <c r="P28" s="51" t="str">
        <f t="shared" si="3"/>
        <v>C2</v>
      </c>
      <c r="Q28" s="51"/>
      <c r="R28" s="51"/>
      <c r="S28" s="51"/>
      <c r="T28" s="51"/>
      <c r="U28" s="51"/>
      <c r="V28" s="51"/>
      <c r="W28" s="52">
        <v>0.77536086437219665</v>
      </c>
      <c r="X28" s="52">
        <v>0.70139371832944153</v>
      </c>
      <c r="Y28" s="52">
        <v>1.3663557132562261</v>
      </c>
      <c r="Z28" s="51" t="s">
        <v>1638</v>
      </c>
    </row>
    <row r="29" spans="1:26" x14ac:dyDescent="0.25">
      <c r="A29" s="51" t="s">
        <v>1580</v>
      </c>
      <c r="B29" s="52">
        <v>0.1996</v>
      </c>
      <c r="C29" s="52">
        <v>0.8004</v>
      </c>
      <c r="D29" s="52">
        <v>0.8004</v>
      </c>
      <c r="E29" s="52">
        <v>0.1024</v>
      </c>
      <c r="F29" s="52">
        <v>0.70589999999999997</v>
      </c>
      <c r="G29" s="52">
        <v>0.875</v>
      </c>
      <c r="H29" s="52">
        <v>0.88039999999999996</v>
      </c>
      <c r="I29" s="52">
        <v>0.89470000000000005</v>
      </c>
      <c r="J29" s="52">
        <v>0.68069999999999997</v>
      </c>
      <c r="K29" s="52">
        <v>0.46810000000000002</v>
      </c>
      <c r="L29" s="52">
        <v>0.2273</v>
      </c>
      <c r="M29" s="52">
        <f t="shared" si="0"/>
        <v>1.9073702629536824</v>
      </c>
      <c r="N29" s="52">
        <f t="shared" si="1"/>
        <v>0.71084287293325255</v>
      </c>
      <c r="O29" s="52">
        <f t="shared" si="2"/>
        <v>0.18623882516811582</v>
      </c>
      <c r="P29" s="51" t="str">
        <f t="shared" si="3"/>
        <v>C3</v>
      </c>
      <c r="Q29" s="51"/>
      <c r="R29" s="51"/>
      <c r="S29" s="51"/>
      <c r="T29" s="51"/>
      <c r="U29" s="51"/>
      <c r="V29" s="51"/>
      <c r="W29" s="52">
        <v>1.9073122450191531</v>
      </c>
      <c r="X29" s="52">
        <v>0.71074113832815389</v>
      </c>
      <c r="Y29" s="52">
        <v>0.18626862672434971</v>
      </c>
      <c r="Z29" s="51" t="s">
        <v>1639</v>
      </c>
    </row>
    <row r="30" spans="1:26" x14ac:dyDescent="0.25">
      <c r="A30" s="51" t="s">
        <v>1581</v>
      </c>
      <c r="B30" s="52">
        <v>0.22650000000000001</v>
      </c>
      <c r="C30" s="52">
        <v>0.77349999999999997</v>
      </c>
      <c r="D30" s="52">
        <v>0.77349999999999997</v>
      </c>
      <c r="E30" s="52">
        <v>6.5199999999999994E-2</v>
      </c>
      <c r="F30" s="52">
        <v>0.64710000000000001</v>
      </c>
      <c r="G30" s="52">
        <v>0.83330000000000004</v>
      </c>
      <c r="H30" s="52">
        <v>0.90910000000000002</v>
      </c>
      <c r="I30" s="52">
        <v>0.68420000000000003</v>
      </c>
      <c r="J30" s="52">
        <v>0.65549999999999997</v>
      </c>
      <c r="K30" s="52">
        <v>0.42549999999999999</v>
      </c>
      <c r="L30" s="52">
        <v>0.11360000000000001</v>
      </c>
      <c r="M30" s="52">
        <f t="shared" si="0"/>
        <v>1.8067746649762388</v>
      </c>
      <c r="N30" s="52">
        <f t="shared" si="1"/>
        <v>0.67722523579677685</v>
      </c>
      <c r="O30" s="52">
        <f t="shared" si="2"/>
        <v>0.35608786836959211</v>
      </c>
      <c r="P30" s="51" t="str">
        <f t="shared" si="3"/>
        <v>C3</v>
      </c>
      <c r="Q30" s="51"/>
      <c r="R30" s="51"/>
      <c r="S30" s="51"/>
      <c r="T30" s="51"/>
      <c r="U30" s="51"/>
      <c r="V30" s="51"/>
      <c r="W30" s="52">
        <v>1.8067166601324069</v>
      </c>
      <c r="X30" s="52">
        <v>0.6771272918085639</v>
      </c>
      <c r="Y30" s="52">
        <v>0.35613534019041743</v>
      </c>
      <c r="Z30" s="51" t="s">
        <v>1639</v>
      </c>
    </row>
    <row r="31" spans="1:26" x14ac:dyDescent="0.25">
      <c r="A31" s="51" t="s">
        <v>1582</v>
      </c>
      <c r="B31" s="52">
        <v>0.74770000000000003</v>
      </c>
      <c r="C31" s="52">
        <v>0.25230000000000002</v>
      </c>
      <c r="D31" s="52">
        <v>0.25230000000000002</v>
      </c>
      <c r="E31" s="52">
        <v>0.32590000000000002</v>
      </c>
      <c r="F31" s="52">
        <v>0.4118</v>
      </c>
      <c r="G31" s="52">
        <v>0.625</v>
      </c>
      <c r="H31" s="52">
        <v>0.75119999999999998</v>
      </c>
      <c r="I31" s="52">
        <v>0.89470000000000005</v>
      </c>
      <c r="J31" s="52">
        <v>0.78990000000000005</v>
      </c>
      <c r="K31" s="52">
        <v>8.5099999999999995E-2</v>
      </c>
      <c r="L31" s="52">
        <v>0.15909999999999999</v>
      </c>
      <c r="M31" s="52">
        <f t="shared" si="0"/>
        <v>1.1890993019928993</v>
      </c>
      <c r="N31" s="52">
        <f t="shared" si="1"/>
        <v>0.61458084903452692</v>
      </c>
      <c r="O31" s="52">
        <f t="shared" si="2"/>
        <v>1.1430909718828155</v>
      </c>
      <c r="P31" s="51" t="str">
        <f t="shared" si="3"/>
        <v>C2</v>
      </c>
      <c r="Q31" s="51"/>
      <c r="R31" s="51"/>
      <c r="S31" s="51"/>
      <c r="T31" s="51"/>
      <c r="U31" s="51"/>
      <c r="V31" s="51"/>
      <c r="W31" s="52">
        <v>1.189084298946042</v>
      </c>
      <c r="X31" s="52">
        <v>0.61464965477253786</v>
      </c>
      <c r="Y31" s="52">
        <v>1.143082243051085</v>
      </c>
      <c r="Z31" s="51" t="s">
        <v>1638</v>
      </c>
    </row>
    <row r="32" spans="1:26" x14ac:dyDescent="0.25">
      <c r="A32" s="51" t="s">
        <v>1583</v>
      </c>
      <c r="B32" s="52">
        <v>0.54239999999999999</v>
      </c>
      <c r="C32" s="52">
        <v>0.45760000000000001</v>
      </c>
      <c r="D32" s="52">
        <v>0.45760000000000001</v>
      </c>
      <c r="E32" s="52">
        <v>0.27929999999999999</v>
      </c>
      <c r="F32" s="52">
        <v>0.47060000000000002</v>
      </c>
      <c r="G32" s="52">
        <v>0.58330000000000004</v>
      </c>
      <c r="H32" s="52">
        <v>0.63160000000000005</v>
      </c>
      <c r="I32" s="52">
        <v>0.73680000000000001</v>
      </c>
      <c r="J32" s="52">
        <v>0.77310000000000001</v>
      </c>
      <c r="K32" s="52">
        <v>0.31909999999999999</v>
      </c>
      <c r="L32" s="52">
        <v>0.4773</v>
      </c>
      <c r="M32" s="52">
        <f t="shared" si="0"/>
        <v>1.1308254949372163</v>
      </c>
      <c r="N32" s="52">
        <f t="shared" si="1"/>
        <v>0.21381531750555191</v>
      </c>
      <c r="O32" s="52">
        <f t="shared" si="2"/>
        <v>0.81583879535114034</v>
      </c>
      <c r="P32" s="51" t="str">
        <f t="shared" si="3"/>
        <v>C2</v>
      </c>
      <c r="Q32" s="51"/>
      <c r="R32" s="51"/>
      <c r="S32" s="51"/>
      <c r="T32" s="51"/>
      <c r="U32" s="51"/>
      <c r="V32" s="51"/>
      <c r="W32" s="52">
        <v>1.1307848248008989</v>
      </c>
      <c r="X32" s="52">
        <v>0.21389355509692201</v>
      </c>
      <c r="Y32" s="52">
        <v>0.81584461647108508</v>
      </c>
      <c r="Z32" s="51" t="s">
        <v>1638</v>
      </c>
    </row>
    <row r="33" spans="1:26" x14ac:dyDescent="0.25">
      <c r="A33" s="51" t="s">
        <v>1584</v>
      </c>
      <c r="B33" s="52">
        <v>0.22889999999999999</v>
      </c>
      <c r="C33" s="52">
        <v>0.77110000000000001</v>
      </c>
      <c r="D33" s="52">
        <v>0.77110000000000001</v>
      </c>
      <c r="E33" s="52">
        <v>0.1024</v>
      </c>
      <c r="F33" s="52">
        <v>0.70589999999999997</v>
      </c>
      <c r="G33" s="52">
        <v>0.83330000000000004</v>
      </c>
      <c r="H33" s="52">
        <v>0.88039999999999996</v>
      </c>
      <c r="I33" s="52">
        <v>0.78949999999999998</v>
      </c>
      <c r="J33" s="52">
        <v>0.5504</v>
      </c>
      <c r="K33" s="52">
        <v>0.82979999999999998</v>
      </c>
      <c r="L33" s="52">
        <v>0.36359999999999998</v>
      </c>
      <c r="M33" s="52">
        <f t="shared" si="0"/>
        <v>1.9222053922513069</v>
      </c>
      <c r="N33" s="52">
        <f t="shared" si="1"/>
        <v>0.78400262754661731</v>
      </c>
      <c r="O33" s="52">
        <f t="shared" si="2"/>
        <v>0.4774443737232642</v>
      </c>
      <c r="P33" s="51" t="str">
        <f t="shared" si="3"/>
        <v>C3</v>
      </c>
      <c r="Q33" s="51"/>
      <c r="R33" s="51"/>
      <c r="S33" s="51"/>
      <c r="T33" s="51"/>
      <c r="U33" s="51"/>
      <c r="V33" s="51"/>
      <c r="W33" s="52">
        <v>1.922145330093435</v>
      </c>
      <c r="X33" s="52">
        <v>0.78390240700740288</v>
      </c>
      <c r="Y33" s="52">
        <v>0.47747596048412388</v>
      </c>
      <c r="Z33" s="51" t="s">
        <v>1639</v>
      </c>
    </row>
    <row r="34" spans="1:26" x14ac:dyDescent="0.25">
      <c r="A34" s="51" t="s">
        <v>1585</v>
      </c>
      <c r="B34" s="52">
        <v>0.55969999999999998</v>
      </c>
      <c r="C34" s="52">
        <v>0.44030000000000002</v>
      </c>
      <c r="D34" s="52">
        <v>0.44030000000000002</v>
      </c>
      <c r="E34" s="52">
        <v>0.22720000000000001</v>
      </c>
      <c r="F34" s="52">
        <v>0.4118</v>
      </c>
      <c r="G34" s="52">
        <v>0.75</v>
      </c>
      <c r="H34" s="52">
        <v>0.72250000000000003</v>
      </c>
      <c r="I34" s="52">
        <v>0.73680000000000001</v>
      </c>
      <c r="J34" s="52">
        <v>0.74790000000000001</v>
      </c>
      <c r="K34" s="52">
        <v>0.44679999999999997</v>
      </c>
      <c r="L34" s="52">
        <v>0.15909999999999999</v>
      </c>
      <c r="M34" s="52">
        <f t="shared" si="0"/>
        <v>1.2843318301747411</v>
      </c>
      <c r="N34" s="52">
        <f t="shared" si="1"/>
        <v>0.27075198983571658</v>
      </c>
      <c r="O34" s="52">
        <f t="shared" si="2"/>
        <v>0.7957088223716009</v>
      </c>
      <c r="P34" s="51" t="str">
        <f t="shared" si="3"/>
        <v>C2</v>
      </c>
      <c r="Q34" s="51"/>
      <c r="R34" s="51"/>
      <c r="S34" s="51"/>
      <c r="T34" s="51"/>
      <c r="U34" s="51"/>
      <c r="V34" s="51"/>
      <c r="W34" s="52">
        <v>1.2842797592425099</v>
      </c>
      <c r="X34" s="52">
        <v>0.27074730010103509</v>
      </c>
      <c r="Y34" s="52">
        <v>0.79571552449173677</v>
      </c>
      <c r="Z34" s="51" t="s">
        <v>1638</v>
      </c>
    </row>
    <row r="35" spans="1:26" x14ac:dyDescent="0.25">
      <c r="A35" s="51" t="s">
        <v>1586</v>
      </c>
      <c r="B35" s="52">
        <v>0.55520000000000003</v>
      </c>
      <c r="C35" s="52">
        <v>0.44479999999999997</v>
      </c>
      <c r="D35" s="52">
        <v>0.44479999999999997</v>
      </c>
      <c r="E35" s="52">
        <v>0.43020000000000003</v>
      </c>
      <c r="F35" s="52">
        <v>0.35289999999999999</v>
      </c>
      <c r="G35" s="52">
        <v>0.70830000000000004</v>
      </c>
      <c r="H35" s="52">
        <v>0.57889999999999997</v>
      </c>
      <c r="I35" s="52">
        <v>0.73680000000000001</v>
      </c>
      <c r="J35" s="52">
        <v>0.68489999999999995</v>
      </c>
      <c r="K35" s="52">
        <v>0.12770000000000001</v>
      </c>
      <c r="L35" s="52">
        <v>9.0899999999999995E-2</v>
      </c>
      <c r="M35" s="52">
        <f t="shared" si="0"/>
        <v>1.1783250867226751</v>
      </c>
      <c r="N35" s="52">
        <f t="shared" si="1"/>
        <v>0.44302799008640531</v>
      </c>
      <c r="O35" s="52">
        <f t="shared" si="2"/>
        <v>0.98198595203801153</v>
      </c>
      <c r="P35" s="51" t="str">
        <f t="shared" si="3"/>
        <v>C2</v>
      </c>
      <c r="Q35" s="51"/>
      <c r="R35" s="51"/>
      <c r="S35" s="51"/>
      <c r="T35" s="51"/>
      <c r="U35" s="51"/>
      <c r="V35" s="51"/>
      <c r="W35" s="52">
        <v>1.1782654666924599</v>
      </c>
      <c r="X35" s="52">
        <v>0.44308596063517969</v>
      </c>
      <c r="Y35" s="52">
        <v>0.98199671340994266</v>
      </c>
      <c r="Z35" s="51" t="s">
        <v>1638</v>
      </c>
    </row>
    <row r="36" spans="1:26" x14ac:dyDescent="0.25">
      <c r="A36" s="51" t="s">
        <v>1587</v>
      </c>
      <c r="B36" s="52">
        <v>0</v>
      </c>
      <c r="C36" s="52">
        <v>1</v>
      </c>
      <c r="D36" s="52">
        <v>1</v>
      </c>
      <c r="E36" s="52">
        <v>0</v>
      </c>
      <c r="F36" s="52">
        <v>0.64710000000000001</v>
      </c>
      <c r="G36" s="52">
        <v>0.91669999999999996</v>
      </c>
      <c r="H36" s="52">
        <v>0.97130000000000005</v>
      </c>
      <c r="I36" s="52">
        <v>0.94740000000000002</v>
      </c>
      <c r="J36" s="52">
        <v>0.73950000000000005</v>
      </c>
      <c r="K36" s="52">
        <v>0.40429999999999999</v>
      </c>
      <c r="L36" s="52">
        <v>0.18179999999999999</v>
      </c>
      <c r="M36" s="52">
        <f t="shared" si="0"/>
        <v>2.1893759887237274</v>
      </c>
      <c r="N36" s="52">
        <f t="shared" si="1"/>
        <v>1.0364009986486891</v>
      </c>
      <c r="O36" s="52">
        <f t="shared" si="2"/>
        <v>0.4478076819350022</v>
      </c>
      <c r="P36" s="51" t="str">
        <f t="shared" si="3"/>
        <v>C3</v>
      </c>
      <c r="Q36" s="51"/>
      <c r="R36" s="51"/>
      <c r="S36" s="51"/>
      <c r="T36" s="51"/>
      <c r="U36" s="51"/>
      <c r="V36" s="51"/>
      <c r="W36" s="52">
        <v>2.189315648781601</v>
      </c>
      <c r="X36" s="52">
        <v>1.0362978429544281</v>
      </c>
      <c r="Y36" s="52">
        <v>0.4478229300587348</v>
      </c>
      <c r="Z36" s="51" t="s">
        <v>1639</v>
      </c>
    </row>
    <row r="37" spans="1:26" x14ac:dyDescent="0.25">
      <c r="A37" s="51" t="s">
        <v>1588</v>
      </c>
      <c r="B37" s="52">
        <v>0.17760000000000001</v>
      </c>
      <c r="C37" s="52">
        <v>0.82240000000000002</v>
      </c>
      <c r="D37" s="52">
        <v>0.82240000000000002</v>
      </c>
      <c r="E37" s="52">
        <v>7.4499999999999997E-2</v>
      </c>
      <c r="F37" s="52">
        <v>0.94120000000000004</v>
      </c>
      <c r="G37" s="52">
        <v>0.95830000000000004</v>
      </c>
      <c r="H37" s="52">
        <v>0.9617</v>
      </c>
      <c r="I37" s="52">
        <v>0.84209999999999996</v>
      </c>
      <c r="J37" s="52">
        <v>0.80669999999999997</v>
      </c>
      <c r="K37" s="52">
        <v>0.10639999999999999</v>
      </c>
      <c r="L37" s="52">
        <v>0.4773</v>
      </c>
      <c r="M37" s="52">
        <f t="shared" si="0"/>
        <v>2.0136604654211196</v>
      </c>
      <c r="N37" s="52">
        <f t="shared" si="1"/>
        <v>0.95198362380872925</v>
      </c>
      <c r="O37" s="52">
        <f t="shared" si="2"/>
        <v>0.3846426783392608</v>
      </c>
      <c r="P37" s="51" t="str">
        <f t="shared" si="3"/>
        <v>C3</v>
      </c>
      <c r="Q37" s="51"/>
      <c r="R37" s="51"/>
      <c r="S37" s="51"/>
      <c r="T37" s="51"/>
      <c r="U37" s="51"/>
      <c r="V37" s="51"/>
      <c r="W37" s="52">
        <v>2.0136197034196899</v>
      </c>
      <c r="X37" s="52">
        <v>0.95192311144965902</v>
      </c>
      <c r="Y37" s="52">
        <v>0.38461992497320069</v>
      </c>
      <c r="Z37" s="51" t="s">
        <v>1639</v>
      </c>
    </row>
    <row r="38" spans="1:26" x14ac:dyDescent="0.25">
      <c r="A38" s="51" t="s">
        <v>1589</v>
      </c>
      <c r="B38" s="52">
        <v>2.98E-2</v>
      </c>
      <c r="C38" s="52">
        <v>0.97019999999999995</v>
      </c>
      <c r="D38" s="52">
        <v>0.97019999999999995</v>
      </c>
      <c r="E38" s="52">
        <v>2.4199999999999999E-2</v>
      </c>
      <c r="F38" s="52">
        <v>0.88239999999999996</v>
      </c>
      <c r="G38" s="52">
        <v>1</v>
      </c>
      <c r="H38" s="52">
        <v>1</v>
      </c>
      <c r="I38" s="52">
        <v>1</v>
      </c>
      <c r="J38" s="52">
        <v>0.49159999999999998</v>
      </c>
      <c r="K38" s="52">
        <v>0.61699999999999999</v>
      </c>
      <c r="L38" s="52">
        <v>0.4773</v>
      </c>
      <c r="M38" s="52">
        <f t="shared" si="0"/>
        <v>2.3279824999342242</v>
      </c>
      <c r="N38" s="52">
        <f t="shared" si="1"/>
        <v>1.1549650947106584</v>
      </c>
      <c r="O38" s="52">
        <f t="shared" si="2"/>
        <v>0.51458659135270901</v>
      </c>
      <c r="P38" s="51" t="str">
        <f t="shared" si="3"/>
        <v>C3</v>
      </c>
      <c r="Q38" s="51"/>
      <c r="R38" s="51"/>
      <c r="S38" s="51"/>
      <c r="T38" s="51"/>
      <c r="U38" s="51"/>
      <c r="V38" s="51"/>
      <c r="W38" s="52">
        <v>2.3279277587588489</v>
      </c>
      <c r="X38" s="52">
        <v>1.1548703681851049</v>
      </c>
      <c r="Y38" s="52">
        <v>0.5145874192700457</v>
      </c>
      <c r="Z38" s="51" t="s">
        <v>1639</v>
      </c>
    </row>
    <row r="39" spans="1:26" x14ac:dyDescent="0.25">
      <c r="A39" s="51" t="s">
        <v>1590</v>
      </c>
      <c r="B39" s="52">
        <v>0.2954</v>
      </c>
      <c r="C39" s="52">
        <v>0.7046</v>
      </c>
      <c r="D39" s="52">
        <v>0.7046</v>
      </c>
      <c r="E39" s="52">
        <v>0.1173</v>
      </c>
      <c r="F39" s="52">
        <v>1</v>
      </c>
      <c r="G39" s="52">
        <v>0.75</v>
      </c>
      <c r="H39" s="52">
        <v>0.80859999999999999</v>
      </c>
      <c r="I39" s="52">
        <v>0.84209999999999996</v>
      </c>
      <c r="J39" s="52">
        <v>0.90339999999999998</v>
      </c>
      <c r="K39" s="52">
        <v>0.1915</v>
      </c>
      <c r="L39" s="52">
        <v>0.20449999999999999</v>
      </c>
      <c r="M39" s="52">
        <f t="shared" si="0"/>
        <v>1.822179818239682</v>
      </c>
      <c r="N39" s="52">
        <f t="shared" si="1"/>
        <v>0.78247814026974583</v>
      </c>
      <c r="O39" s="52">
        <f t="shared" si="2"/>
        <v>0.46749550799980949</v>
      </c>
      <c r="P39" s="51" t="str">
        <f t="shared" si="3"/>
        <v>C3</v>
      </c>
      <c r="Q39" s="51"/>
      <c r="R39" s="51"/>
      <c r="S39" s="51"/>
      <c r="T39" s="51"/>
      <c r="U39" s="51"/>
      <c r="V39" s="51"/>
      <c r="W39" s="52">
        <v>1.8221349895109309</v>
      </c>
      <c r="X39" s="52">
        <v>0.78241755023261073</v>
      </c>
      <c r="Y39" s="52">
        <v>0.46750001126475321</v>
      </c>
      <c r="Z39" s="51" t="s">
        <v>1639</v>
      </c>
    </row>
    <row r="40" spans="1:26" x14ac:dyDescent="0.25">
      <c r="A40" s="51" t="s">
        <v>1591</v>
      </c>
      <c r="B40" s="52">
        <v>0.52280000000000004</v>
      </c>
      <c r="C40" s="52">
        <v>0.47720000000000001</v>
      </c>
      <c r="D40" s="52">
        <v>0.47720000000000001</v>
      </c>
      <c r="E40" s="52">
        <v>0.21790000000000001</v>
      </c>
      <c r="F40" s="52">
        <v>0.4118</v>
      </c>
      <c r="G40" s="52">
        <v>0.625</v>
      </c>
      <c r="H40" s="52">
        <v>0.65549999999999997</v>
      </c>
      <c r="I40" s="52">
        <v>0.63160000000000005</v>
      </c>
      <c r="J40" s="52">
        <v>0.86550000000000005</v>
      </c>
      <c r="K40" s="52">
        <v>2.1299999999999999E-2</v>
      </c>
      <c r="L40" s="52">
        <v>0.40910000000000002</v>
      </c>
      <c r="M40" s="52">
        <f t="shared" si="0"/>
        <v>1.1017950353854387</v>
      </c>
      <c r="N40" s="52">
        <f t="shared" si="1"/>
        <v>0.43476475248115504</v>
      </c>
      <c r="O40" s="52">
        <f t="shared" si="2"/>
        <v>0.89058321340568736</v>
      </c>
      <c r="P40" s="51" t="str">
        <f t="shared" si="3"/>
        <v>C2</v>
      </c>
      <c r="Q40" s="51"/>
      <c r="R40" s="51"/>
      <c r="S40" s="51"/>
      <c r="T40" s="51"/>
      <c r="U40" s="51"/>
      <c r="V40" s="51"/>
      <c r="W40" s="52">
        <v>1.1017630235218461</v>
      </c>
      <c r="X40" s="52">
        <v>0.43482548328266141</v>
      </c>
      <c r="Y40" s="52">
        <v>0.89058644192045977</v>
      </c>
      <c r="Z40" s="51" t="s">
        <v>1638</v>
      </c>
    </row>
    <row r="41" spans="1:26" x14ac:dyDescent="0.25">
      <c r="A41" s="51" t="s">
        <v>1592</v>
      </c>
      <c r="B41" s="52">
        <v>0.29060000000000002</v>
      </c>
      <c r="C41" s="52">
        <v>0.70940000000000003</v>
      </c>
      <c r="D41" s="52">
        <v>0.70940000000000003</v>
      </c>
      <c r="E41" s="52">
        <v>0.13780000000000001</v>
      </c>
      <c r="F41" s="52">
        <v>0.70589999999999997</v>
      </c>
      <c r="G41" s="52">
        <v>0.79169999999999996</v>
      </c>
      <c r="H41" s="52">
        <v>0.86599999999999999</v>
      </c>
      <c r="I41" s="52">
        <v>0.94740000000000002</v>
      </c>
      <c r="J41" s="52">
        <v>0.89500000000000002</v>
      </c>
      <c r="K41" s="52">
        <v>0.31909999999999999</v>
      </c>
      <c r="L41" s="52">
        <v>0.4773</v>
      </c>
      <c r="M41" s="52">
        <f t="shared" si="0"/>
        <v>1.7366621634618522</v>
      </c>
      <c r="N41" s="52">
        <f t="shared" si="1"/>
        <v>0.60875630592216468</v>
      </c>
      <c r="O41" s="52">
        <f t="shared" si="2"/>
        <v>0.30046565527527436</v>
      </c>
      <c r="P41" s="51" t="str">
        <f t="shared" si="3"/>
        <v>C3</v>
      </c>
      <c r="Q41" s="51"/>
      <c r="R41" s="51"/>
      <c r="S41" s="51"/>
      <c r="T41" s="51"/>
      <c r="U41" s="51"/>
      <c r="V41" s="51"/>
      <c r="W41" s="52">
        <v>1.736618754937306</v>
      </c>
      <c r="X41" s="52">
        <v>0.60868503095771953</v>
      </c>
      <c r="Y41" s="52">
        <v>0.30043800165797391</v>
      </c>
      <c r="Z41" s="51" t="s">
        <v>1639</v>
      </c>
    </row>
    <row r="42" spans="1:26" x14ac:dyDescent="0.25">
      <c r="A42" s="51" t="s">
        <v>1593</v>
      </c>
      <c r="B42" s="52">
        <v>0.59430000000000005</v>
      </c>
      <c r="C42" s="52">
        <v>0.40570000000000001</v>
      </c>
      <c r="D42" s="52">
        <v>0.40570000000000001</v>
      </c>
      <c r="E42" s="52">
        <v>0.18809999999999999</v>
      </c>
      <c r="F42" s="52">
        <v>0.52939999999999998</v>
      </c>
      <c r="G42" s="52">
        <v>0.625</v>
      </c>
      <c r="H42" s="52">
        <v>0.77510000000000001</v>
      </c>
      <c r="I42" s="52">
        <v>0.89470000000000005</v>
      </c>
      <c r="J42" s="52">
        <v>0.72270000000000001</v>
      </c>
      <c r="K42" s="52">
        <v>0.87229999999999996</v>
      </c>
      <c r="L42" s="52">
        <v>0.84089999999999998</v>
      </c>
      <c r="M42" s="52">
        <f t="shared" si="0"/>
        <v>1.5060140835994862</v>
      </c>
      <c r="N42" s="52">
        <f t="shared" si="1"/>
        <v>0.74912129191473387</v>
      </c>
      <c r="O42" s="52">
        <f t="shared" si="2"/>
        <v>1.0185698306939981</v>
      </c>
      <c r="P42" s="51" t="str">
        <f t="shared" si="3"/>
        <v>C2</v>
      </c>
      <c r="Q42" s="51"/>
      <c r="R42" s="51"/>
      <c r="S42" s="51"/>
      <c r="T42" s="51"/>
      <c r="U42" s="51"/>
      <c r="V42" s="51"/>
      <c r="W42" s="52">
        <v>1.505988827979809</v>
      </c>
      <c r="X42" s="52">
        <v>0.74911529427184964</v>
      </c>
      <c r="Y42" s="52">
        <v>1.018561141132359</v>
      </c>
      <c r="Z42" s="51" t="s">
        <v>1638</v>
      </c>
    </row>
    <row r="43" spans="1:26" x14ac:dyDescent="0.25">
      <c r="A43" s="51" t="s">
        <v>1594</v>
      </c>
      <c r="B43" s="52">
        <v>0.31469999999999998</v>
      </c>
      <c r="C43" s="52">
        <v>0.68530000000000002</v>
      </c>
      <c r="D43" s="52">
        <v>0.68530000000000002</v>
      </c>
      <c r="E43" s="52">
        <v>0.8417</v>
      </c>
      <c r="F43" s="52">
        <v>0.58819999999999995</v>
      </c>
      <c r="G43" s="52">
        <v>0.66669999999999996</v>
      </c>
      <c r="H43" s="52">
        <v>0.77510000000000001</v>
      </c>
      <c r="I43" s="52">
        <v>1</v>
      </c>
      <c r="J43" s="52">
        <v>0.64290000000000003</v>
      </c>
      <c r="K43" s="52">
        <v>0.61699999999999999</v>
      </c>
      <c r="L43" s="52">
        <v>0.5</v>
      </c>
      <c r="M43" s="52">
        <f t="shared" si="0"/>
        <v>1.7068188363150907</v>
      </c>
      <c r="N43" s="52">
        <f t="shared" si="1"/>
        <v>0.75144050330016143</v>
      </c>
      <c r="O43" s="52">
        <f t="shared" si="2"/>
        <v>0.88727258494782757</v>
      </c>
      <c r="P43" s="51" t="str">
        <f t="shared" si="3"/>
        <v>C2</v>
      </c>
      <c r="Q43" s="51"/>
      <c r="R43" s="51"/>
      <c r="S43" s="51"/>
      <c r="T43" s="51"/>
      <c r="U43" s="51"/>
      <c r="V43" s="51"/>
      <c r="W43" s="52">
        <v>1.7067491028267749</v>
      </c>
      <c r="X43" s="52">
        <v>0.75141259778632929</v>
      </c>
      <c r="Y43" s="52">
        <v>0.88729269114724119</v>
      </c>
      <c r="Z43" s="51" t="s">
        <v>1638</v>
      </c>
    </row>
    <row r="44" spans="1:26" x14ac:dyDescent="0.25">
      <c r="A44" s="51" t="s">
        <v>1595</v>
      </c>
      <c r="B44" s="52">
        <v>0.18429999999999999</v>
      </c>
      <c r="C44" s="52">
        <v>0.81569999999999998</v>
      </c>
      <c r="D44" s="52">
        <v>0.81569999999999998</v>
      </c>
      <c r="E44" s="52">
        <v>0.13220000000000001</v>
      </c>
      <c r="F44" s="52">
        <v>0.35289999999999999</v>
      </c>
      <c r="G44" s="52">
        <v>0.79169999999999996</v>
      </c>
      <c r="H44" s="52">
        <v>0.6986</v>
      </c>
      <c r="I44" s="52">
        <v>0.73680000000000001</v>
      </c>
      <c r="J44" s="52">
        <v>0.93279999999999996</v>
      </c>
      <c r="K44" s="52">
        <v>0.34039999999999998</v>
      </c>
      <c r="L44" s="52">
        <v>0.2273</v>
      </c>
      <c r="M44" s="52">
        <f t="shared" si="0"/>
        <v>1.6296349990105146</v>
      </c>
      <c r="N44" s="52">
        <f t="shared" si="1"/>
        <v>0.61572633531464283</v>
      </c>
      <c r="O44" s="52">
        <f t="shared" si="2"/>
        <v>0.55290616744615895</v>
      </c>
      <c r="P44" s="51" t="str">
        <f t="shared" si="3"/>
        <v>C3</v>
      </c>
      <c r="Q44" s="51"/>
      <c r="R44" s="51"/>
      <c r="S44" s="51"/>
      <c r="T44" s="51"/>
      <c r="U44" s="51"/>
      <c r="V44" s="51"/>
      <c r="W44" s="52">
        <v>1.6295656660595179</v>
      </c>
      <c r="X44" s="52">
        <v>0.61564545097970136</v>
      </c>
      <c r="Y44" s="52">
        <v>0.5529296635560772</v>
      </c>
      <c r="Z44" s="51" t="s">
        <v>1639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14"/>
  <sheetViews>
    <sheetView workbookViewId="0"/>
  </sheetViews>
  <sheetFormatPr defaultRowHeight="15" x14ac:dyDescent="0.25"/>
  <sheetData>
    <row r="1" spans="1:4" x14ac:dyDescent="0.25">
      <c r="A1" t="s">
        <v>1667</v>
      </c>
    </row>
    <row r="3" spans="1:4" x14ac:dyDescent="0.25">
      <c r="A3" t="s">
        <v>1598</v>
      </c>
      <c r="B3" t="s">
        <v>1668</v>
      </c>
      <c r="C3" t="s">
        <v>1669</v>
      </c>
      <c r="D3" t="s">
        <v>1670</v>
      </c>
    </row>
    <row r="4" spans="1:4" x14ac:dyDescent="0.25">
      <c r="A4" t="s">
        <v>45</v>
      </c>
      <c r="B4">
        <f>AVERAGEIF('Anggota Iterasi 2'!$M$2:$M$41,"C1",'Anggota Iterasi 2'!$B$2:$B$41)</f>
        <v>0.86155000000000004</v>
      </c>
      <c r="C4">
        <f>AVERAGEIF('Anggota Iterasi 2'!$M$2:$M$41,"C2",'Anggota Iterasi 2'!$B$2:$B$41)</f>
        <v>0.483352</v>
      </c>
      <c r="D4">
        <f>AVERAGEIF('Anggota Iterasi 2'!$M$2:$M$41,"C3",'Anggota Iterasi 2'!$B$2:$B$41)</f>
        <v>0.2075153846153846</v>
      </c>
    </row>
    <row r="5" spans="1:4" x14ac:dyDescent="0.25">
      <c r="A5" t="s">
        <v>1596</v>
      </c>
      <c r="B5">
        <f>AVERAGEIF('Anggota Iterasi 2'!$M$2:$M$41,"C1",'Anggota Iterasi 2'!$C$2:$C$41)</f>
        <v>0.13844999999999999</v>
      </c>
      <c r="C5">
        <f>AVERAGEIF('Anggota Iterasi 2'!$M$2:$M$41,"C2",'Anggota Iterasi 2'!$C$2:$C$41)</f>
        <v>0.516648</v>
      </c>
      <c r="D5">
        <f>AVERAGEIF('Anggota Iterasi 2'!$M$2:$M$41,"C3",'Anggota Iterasi 2'!$C$2:$C$41)</f>
        <v>0.79248461538461534</v>
      </c>
    </row>
    <row r="6" spans="1:4" x14ac:dyDescent="0.25">
      <c r="A6" t="s">
        <v>46</v>
      </c>
      <c r="B6">
        <f>AVERAGEIF('Anggota Iterasi 2'!$M$2:$M$41,"C1",'Anggota Iterasi 2'!$D$2:$D$41)</f>
        <v>0.13844999999999999</v>
      </c>
      <c r="C6">
        <f>AVERAGEIF('Anggota Iterasi 2'!$M$2:$M$41,"C2",'Anggota Iterasi 2'!$D$2:$D$41)</f>
        <v>0.516648</v>
      </c>
      <c r="D6">
        <f>AVERAGEIF('Anggota Iterasi 2'!$M$2:$M$41,"C3",'Anggota Iterasi 2'!$D$2:$D$41)</f>
        <v>0.79248461538461534</v>
      </c>
    </row>
    <row r="7" spans="1:4" x14ac:dyDescent="0.25">
      <c r="A7" t="s">
        <v>1597</v>
      </c>
      <c r="B7">
        <f>AVERAGEIF('Anggota Iterasi 2'!$M$2:$M$41,"C1",'Anggota Iterasi 2'!$E$2:$E$41)</f>
        <v>0.48324999999999996</v>
      </c>
      <c r="C7">
        <f>AVERAGEIF('Anggota Iterasi 2'!$M$2:$M$41,"C2",'Anggota Iterasi 2'!$E$2:$E$41)</f>
        <v>0.30086000000000007</v>
      </c>
      <c r="D7">
        <f>AVERAGEIF('Anggota Iterasi 2'!$M$2:$M$41,"C3",'Anggota Iterasi 2'!$E$2:$E$41)</f>
        <v>8.9676923076923085E-2</v>
      </c>
    </row>
    <row r="8" spans="1:4" x14ac:dyDescent="0.25">
      <c r="A8" t="s">
        <v>1539</v>
      </c>
      <c r="B8">
        <f>AVERAGEIF('Anggota Iterasi 2'!$M$2:$M$41,"C1",'Anggota Iterasi 2'!$F$2:$F$41)</f>
        <v>0</v>
      </c>
      <c r="C8">
        <f>AVERAGEIF('Anggota Iterasi 2'!$M$2:$M$41,"C2",'Anggota Iterasi 2'!$F$2:$F$41)</f>
        <v>0.41412000000000004</v>
      </c>
      <c r="D8">
        <f>AVERAGEIF('Anggota Iterasi 2'!$M$2:$M$41,"C3",'Anggota Iterasi 2'!$F$2:$F$41)</f>
        <v>0.76019999999999999</v>
      </c>
    </row>
    <row r="9" spans="1:4" x14ac:dyDescent="0.25">
      <c r="A9" t="s">
        <v>1541</v>
      </c>
      <c r="B9">
        <f>AVERAGEIF('Anggota Iterasi 2'!$M$2:$M$41,"C1",'Anggota Iterasi 2'!$G$2:$G$41)</f>
        <v>0.22914999999999999</v>
      </c>
      <c r="C9">
        <f>AVERAGEIF('Anggota Iterasi 2'!$M$2:$M$41,"C2",'Anggota Iterasi 2'!$G$2:$G$41)</f>
        <v>0.64</v>
      </c>
      <c r="D9">
        <f>AVERAGEIF('Anggota Iterasi 2'!$M$2:$M$41,"C3",'Anggota Iterasi 2'!$G$2:$G$41)</f>
        <v>0.90063846153846161</v>
      </c>
    </row>
    <row r="10" spans="1:4" x14ac:dyDescent="0.25">
      <c r="A10" t="s">
        <v>1542</v>
      </c>
      <c r="B10">
        <f>AVERAGEIF('Anggota Iterasi 2'!$M$2:$M$41,"C1",'Anggota Iterasi 2'!$H$2:$H$41)</f>
        <v>0.22725000000000001</v>
      </c>
      <c r="C10">
        <f>AVERAGEIF('Anggota Iterasi 2'!$M$2:$M$41,"C2",'Anggota Iterasi 2'!$H$2:$H$41)</f>
        <v>0.68803599999999987</v>
      </c>
      <c r="D10">
        <f>AVERAGEIF('Anggota Iterasi 2'!$M$2:$M$41,"C3",'Anggota Iterasi 2'!$H$2:$H$41)</f>
        <v>0.90320769230769227</v>
      </c>
    </row>
    <row r="11" spans="1:4" x14ac:dyDescent="0.25">
      <c r="A11" t="s">
        <v>1543</v>
      </c>
      <c r="B11">
        <f>AVERAGEIF('Anggota Iterasi 2'!$M$2:$M$41,"C1",'Anggota Iterasi 2'!$I$2:$I$41)</f>
        <v>0.13159999999999999</v>
      </c>
      <c r="C11">
        <f>AVERAGEIF('Anggota Iterasi 2'!$M$2:$M$41,"C2",'Anggota Iterasi 2'!$I$2:$I$41)</f>
        <v>0.73682400000000003</v>
      </c>
      <c r="D11">
        <f>AVERAGEIF('Anggota Iterasi 2'!$M$2:$M$41,"C3",'Anggota Iterasi 2'!$I$2:$I$41)</f>
        <v>0.86234615384615387</v>
      </c>
    </row>
    <row r="12" spans="1:4" x14ac:dyDescent="0.25">
      <c r="A12" t="s">
        <v>1547</v>
      </c>
      <c r="B12">
        <f>AVERAGEIF('Anggota Iterasi 2'!$M$2:$M$41,"C1",'Anggota Iterasi 2'!$J$2:$J$41)</f>
        <v>0.93490000000000006</v>
      </c>
      <c r="C12">
        <f>AVERAGEIF('Anggota Iterasi 2'!$M$2:$M$41,"C2",'Anggota Iterasi 2'!$J$2:$J$41)</f>
        <v>0.73949999999999994</v>
      </c>
      <c r="D12">
        <f>AVERAGEIF('Anggota Iterasi 2'!$M$2:$M$41,"C3",'Anggota Iterasi 2'!$J$2:$J$41)</f>
        <v>0.73271538461538455</v>
      </c>
    </row>
    <row r="13" spans="1:4" x14ac:dyDescent="0.25">
      <c r="A13" t="s">
        <v>1549</v>
      </c>
      <c r="B13">
        <f>AVERAGEIF('Anggota Iterasi 2'!$M$2:$M$41,"C1",'Anggota Iterasi 2'!$K$2:$K$41)</f>
        <v>0.15955</v>
      </c>
      <c r="C13">
        <f>AVERAGEIF('Anggota Iterasi 2'!$M$2:$M$41,"C2",'Anggota Iterasi 2'!$K$2:$K$41)</f>
        <v>0.40254800000000013</v>
      </c>
      <c r="D13">
        <f>AVERAGEIF('Anggota Iterasi 2'!$M$2:$M$41,"C3",'Anggota Iterasi 2'!$K$2:$K$41)</f>
        <v>0.40588461538461534</v>
      </c>
    </row>
    <row r="14" spans="1:4" x14ac:dyDescent="0.25">
      <c r="A14" t="s">
        <v>1550</v>
      </c>
      <c r="B14">
        <f>AVERAGEIF('Anggota Iterasi 2'!$M$2:$M$41,"C1",'Anggota Iterasi 2'!$L$2:$L$41)</f>
        <v>0.53405000000000002</v>
      </c>
      <c r="C14">
        <f>AVERAGEIF('Anggota Iterasi 2'!$M$2:$M$41,"C2",'Anggota Iterasi 2'!$L$2:$L$41)</f>
        <v>0.34636799999999995</v>
      </c>
      <c r="D14">
        <f>AVERAGEIF('Anggota Iterasi 2'!$M$2:$M$41,"C3",'Anggota Iterasi 2'!$L$2:$L$41)</f>
        <v>0.37762307692307689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M41"/>
  <sheetViews>
    <sheetView workbookViewId="0">
      <selection activeCell="B7" sqref="B7"/>
    </sheetView>
  </sheetViews>
  <sheetFormatPr defaultRowHeight="15" x14ac:dyDescent="0.25"/>
  <cols>
    <col min="1" max="13" width="18" customWidth="1"/>
  </cols>
  <sheetData>
    <row r="1" spans="1:13" x14ac:dyDescent="0.25">
      <c r="A1" s="77" t="s">
        <v>1671</v>
      </c>
      <c r="B1" s="77" t="s">
        <v>45</v>
      </c>
      <c r="C1" s="77" t="s">
        <v>1596</v>
      </c>
      <c r="D1" s="77" t="s">
        <v>46</v>
      </c>
      <c r="E1" s="77" t="s">
        <v>1597</v>
      </c>
      <c r="F1" s="77" t="s">
        <v>1539</v>
      </c>
      <c r="G1" s="77" t="s">
        <v>1541</v>
      </c>
      <c r="H1" s="77" t="s">
        <v>1542</v>
      </c>
      <c r="I1" s="77" t="s">
        <v>1543</v>
      </c>
      <c r="J1" s="77" t="s">
        <v>1547</v>
      </c>
      <c r="K1" s="77" t="s">
        <v>1549</v>
      </c>
      <c r="L1" s="77" t="s">
        <v>1550</v>
      </c>
      <c r="M1" s="77" t="s">
        <v>1672</v>
      </c>
    </row>
    <row r="2" spans="1:13" x14ac:dyDescent="0.25">
      <c r="A2" t="s">
        <v>1555</v>
      </c>
      <c r="B2">
        <v>0.46339999999999998</v>
      </c>
      <c r="C2">
        <v>0.53659999999999997</v>
      </c>
      <c r="D2">
        <v>0.53659999999999997</v>
      </c>
      <c r="E2">
        <v>0.17879999999999999</v>
      </c>
      <c r="F2">
        <v>0.76470000000000005</v>
      </c>
      <c r="G2">
        <v>0.91669999999999996</v>
      </c>
      <c r="H2">
        <v>0.85650000000000004</v>
      </c>
      <c r="I2">
        <v>0.89470000000000005</v>
      </c>
      <c r="J2">
        <v>0.89500000000000002</v>
      </c>
      <c r="K2">
        <v>0.63829999999999998</v>
      </c>
      <c r="L2">
        <v>1</v>
      </c>
      <c r="M2" t="s">
        <v>1639</v>
      </c>
    </row>
    <row r="3" spans="1:13" x14ac:dyDescent="0.25">
      <c r="A3" t="s">
        <v>1557</v>
      </c>
      <c r="B3">
        <v>0.30759999999999998</v>
      </c>
      <c r="C3">
        <v>0.69240000000000002</v>
      </c>
      <c r="D3">
        <v>0.69240000000000002</v>
      </c>
      <c r="E3">
        <v>0.15640000000000001</v>
      </c>
      <c r="F3">
        <v>0.70589999999999997</v>
      </c>
      <c r="G3">
        <v>0.79169999999999996</v>
      </c>
      <c r="H3">
        <v>0.70330000000000004</v>
      </c>
      <c r="I3">
        <v>0.84209999999999996</v>
      </c>
      <c r="J3">
        <v>1</v>
      </c>
      <c r="K3">
        <v>0.10639999999999999</v>
      </c>
      <c r="L3">
        <v>0.13639999999999999</v>
      </c>
      <c r="M3" t="s">
        <v>1638</v>
      </c>
    </row>
    <row r="4" spans="1:13" x14ac:dyDescent="0.25">
      <c r="A4" t="s">
        <v>1558</v>
      </c>
      <c r="B4">
        <v>0.28560000000000002</v>
      </c>
      <c r="C4">
        <v>0.71440000000000003</v>
      </c>
      <c r="D4">
        <v>0.71440000000000003</v>
      </c>
      <c r="E4">
        <v>0.11550000000000001</v>
      </c>
      <c r="F4">
        <v>0.70589999999999997</v>
      </c>
      <c r="G4">
        <v>0.95830000000000004</v>
      </c>
      <c r="H4">
        <v>0.87080000000000002</v>
      </c>
      <c r="I4">
        <v>0.78949999999999998</v>
      </c>
      <c r="J4">
        <v>0.77729999999999999</v>
      </c>
      <c r="K4">
        <v>0.34039999999999998</v>
      </c>
      <c r="L4">
        <v>0.2273</v>
      </c>
      <c r="M4" t="s">
        <v>1639</v>
      </c>
    </row>
    <row r="5" spans="1:13" x14ac:dyDescent="0.25">
      <c r="A5" t="s">
        <v>1559</v>
      </c>
      <c r="B5">
        <v>0.4153</v>
      </c>
      <c r="C5">
        <v>0.5847</v>
      </c>
      <c r="D5">
        <v>0.5847</v>
      </c>
      <c r="E5">
        <v>0.5363</v>
      </c>
      <c r="F5">
        <v>0.70589999999999997</v>
      </c>
      <c r="G5">
        <v>0.83330000000000004</v>
      </c>
      <c r="H5">
        <v>0.78949999999999998</v>
      </c>
      <c r="I5">
        <v>0.84209999999999996</v>
      </c>
      <c r="J5">
        <v>0.94120000000000004</v>
      </c>
      <c r="K5">
        <v>0.27660000000000001</v>
      </c>
      <c r="L5">
        <v>0.20449999999999999</v>
      </c>
      <c r="M5" t="s">
        <v>1638</v>
      </c>
    </row>
    <row r="6" spans="1:13" x14ac:dyDescent="0.25">
      <c r="A6" t="s">
        <v>1560</v>
      </c>
      <c r="B6">
        <v>0.75570000000000004</v>
      </c>
      <c r="C6">
        <v>0.24429999999999999</v>
      </c>
      <c r="D6">
        <v>0.24429999999999999</v>
      </c>
      <c r="E6">
        <v>0.27750000000000002</v>
      </c>
      <c r="F6">
        <v>0.47060000000000002</v>
      </c>
      <c r="G6">
        <v>0.79169999999999996</v>
      </c>
      <c r="H6">
        <v>0.6411</v>
      </c>
      <c r="I6">
        <v>0.57889999999999997</v>
      </c>
      <c r="J6">
        <v>0.83189999999999997</v>
      </c>
      <c r="K6">
        <v>0.44679999999999997</v>
      </c>
      <c r="L6">
        <v>2.2700000000000001E-2</v>
      </c>
      <c r="M6" t="s">
        <v>1638</v>
      </c>
    </row>
    <row r="7" spans="1:13" x14ac:dyDescent="0.25">
      <c r="A7" t="s">
        <v>1561</v>
      </c>
      <c r="B7">
        <v>0.17730000000000001</v>
      </c>
      <c r="C7">
        <v>0.82269999999999999</v>
      </c>
      <c r="D7">
        <v>0.82269999999999999</v>
      </c>
      <c r="E7">
        <v>0.11550000000000001</v>
      </c>
      <c r="F7">
        <v>0.64710000000000001</v>
      </c>
      <c r="G7">
        <v>0.91669999999999996</v>
      </c>
      <c r="H7">
        <v>0.82299999999999995</v>
      </c>
      <c r="I7">
        <v>0.89470000000000005</v>
      </c>
      <c r="J7">
        <v>0.77310000000000001</v>
      </c>
      <c r="K7">
        <v>0.46810000000000002</v>
      </c>
      <c r="L7">
        <v>9.0899999999999995E-2</v>
      </c>
      <c r="M7" t="s">
        <v>1639</v>
      </c>
    </row>
    <row r="8" spans="1:13" x14ac:dyDescent="0.25">
      <c r="A8" t="s">
        <v>1562</v>
      </c>
      <c r="B8">
        <v>0.51900000000000002</v>
      </c>
      <c r="C8">
        <v>0.48099999999999998</v>
      </c>
      <c r="D8">
        <v>0.48099999999999998</v>
      </c>
      <c r="E8">
        <v>0.21229999999999999</v>
      </c>
      <c r="F8">
        <v>0.35289999999999999</v>
      </c>
      <c r="G8">
        <v>0.625</v>
      </c>
      <c r="H8">
        <v>0.622</v>
      </c>
      <c r="I8">
        <v>0.73680000000000001</v>
      </c>
      <c r="J8">
        <v>0.4748</v>
      </c>
      <c r="K8">
        <v>0.51060000000000005</v>
      </c>
      <c r="L8">
        <v>0.25</v>
      </c>
      <c r="M8" t="s">
        <v>1638</v>
      </c>
    </row>
    <row r="9" spans="1:13" x14ac:dyDescent="0.25">
      <c r="A9" t="s">
        <v>1563</v>
      </c>
      <c r="B9">
        <v>0.1618</v>
      </c>
      <c r="C9">
        <v>0.83819999999999995</v>
      </c>
      <c r="D9">
        <v>0.83819999999999995</v>
      </c>
      <c r="E9">
        <v>8.3799999999999999E-2</v>
      </c>
      <c r="F9">
        <v>0.70589999999999997</v>
      </c>
      <c r="G9">
        <v>1</v>
      </c>
      <c r="H9">
        <v>0.93300000000000005</v>
      </c>
      <c r="I9">
        <v>0.78949999999999998</v>
      </c>
      <c r="J9">
        <v>0.57979999999999998</v>
      </c>
      <c r="K9">
        <v>0.23400000000000001</v>
      </c>
      <c r="L9">
        <v>0.13639999999999999</v>
      </c>
      <c r="M9" t="s">
        <v>1639</v>
      </c>
    </row>
    <row r="10" spans="1:13" x14ac:dyDescent="0.25">
      <c r="A10" t="s">
        <v>1564</v>
      </c>
      <c r="B10">
        <v>0.2944</v>
      </c>
      <c r="C10">
        <v>0.7056</v>
      </c>
      <c r="D10">
        <v>0.7056</v>
      </c>
      <c r="E10">
        <v>0.14149999999999999</v>
      </c>
      <c r="F10">
        <v>0.47060000000000002</v>
      </c>
      <c r="G10">
        <v>0.66669999999999996</v>
      </c>
      <c r="H10">
        <v>0.71289999999999998</v>
      </c>
      <c r="I10">
        <v>0.68420000000000003</v>
      </c>
      <c r="J10">
        <v>0.77310000000000001</v>
      </c>
      <c r="K10">
        <v>0.34039999999999998</v>
      </c>
      <c r="L10">
        <v>0</v>
      </c>
      <c r="M10" t="s">
        <v>1638</v>
      </c>
    </row>
    <row r="11" spans="1:13" x14ac:dyDescent="0.25">
      <c r="A11" t="s">
        <v>1565</v>
      </c>
      <c r="B11">
        <v>0.41549999999999998</v>
      </c>
      <c r="C11">
        <v>0.58450000000000002</v>
      </c>
      <c r="D11">
        <v>0.58450000000000002</v>
      </c>
      <c r="E11">
        <v>0.19370000000000001</v>
      </c>
      <c r="F11">
        <v>0.17649999999999999</v>
      </c>
      <c r="G11">
        <v>0.83330000000000004</v>
      </c>
      <c r="H11">
        <v>0.76559999999999995</v>
      </c>
      <c r="I11">
        <v>0.84209999999999996</v>
      </c>
      <c r="J11">
        <v>0.93279999999999996</v>
      </c>
      <c r="K11">
        <v>0</v>
      </c>
      <c r="L11">
        <v>6.8199999999999997E-2</v>
      </c>
      <c r="M11" t="s">
        <v>1638</v>
      </c>
    </row>
    <row r="12" spans="1:13" x14ac:dyDescent="0.25">
      <c r="A12" t="s">
        <v>1566</v>
      </c>
      <c r="B12">
        <v>0.16120000000000001</v>
      </c>
      <c r="C12">
        <v>0.83879999999999999</v>
      </c>
      <c r="D12">
        <v>0.83879999999999999</v>
      </c>
      <c r="E12">
        <v>4.8399999999999999E-2</v>
      </c>
      <c r="F12">
        <v>0.82350000000000001</v>
      </c>
      <c r="G12">
        <v>0.95830000000000004</v>
      </c>
      <c r="H12">
        <v>0.98089999999999999</v>
      </c>
      <c r="I12">
        <v>0.89470000000000005</v>
      </c>
      <c r="J12">
        <v>0.77729999999999999</v>
      </c>
      <c r="K12">
        <v>0.23400000000000001</v>
      </c>
      <c r="L12">
        <v>0.93179999999999996</v>
      </c>
      <c r="M12" t="s">
        <v>1639</v>
      </c>
    </row>
    <row r="13" spans="1:13" x14ac:dyDescent="0.25">
      <c r="A13" t="s">
        <v>1567</v>
      </c>
      <c r="B13">
        <v>0.58850000000000002</v>
      </c>
      <c r="C13">
        <v>0.41149999999999998</v>
      </c>
      <c r="D13">
        <v>0.41149999999999998</v>
      </c>
      <c r="E13">
        <v>0.21970000000000001</v>
      </c>
      <c r="F13">
        <v>0.4118</v>
      </c>
      <c r="G13">
        <v>0.625</v>
      </c>
      <c r="H13">
        <v>0.79430000000000001</v>
      </c>
      <c r="I13">
        <v>0.89470000000000005</v>
      </c>
      <c r="J13">
        <v>0.91180000000000005</v>
      </c>
      <c r="K13">
        <v>0.2979</v>
      </c>
      <c r="L13">
        <v>0.56820000000000004</v>
      </c>
      <c r="M13" t="s">
        <v>1638</v>
      </c>
    </row>
    <row r="14" spans="1:13" x14ac:dyDescent="0.25">
      <c r="A14" t="s">
        <v>1568</v>
      </c>
      <c r="B14">
        <v>0.36259999999999998</v>
      </c>
      <c r="C14">
        <v>0.63739999999999997</v>
      </c>
      <c r="D14">
        <v>0.63739999999999997</v>
      </c>
      <c r="E14">
        <v>0.12479999999999999</v>
      </c>
      <c r="F14">
        <v>0.52939999999999998</v>
      </c>
      <c r="G14">
        <v>0.41670000000000001</v>
      </c>
      <c r="H14">
        <v>0.68420000000000003</v>
      </c>
      <c r="I14">
        <v>0.68420000000000003</v>
      </c>
      <c r="J14">
        <v>0.85289999999999999</v>
      </c>
      <c r="K14">
        <v>0.12770000000000001</v>
      </c>
      <c r="L14">
        <v>0.4773</v>
      </c>
      <c r="M14" t="s">
        <v>1638</v>
      </c>
    </row>
    <row r="15" spans="1:13" x14ac:dyDescent="0.25">
      <c r="A15" t="s">
        <v>1569</v>
      </c>
      <c r="B15">
        <v>0.45629999999999998</v>
      </c>
      <c r="C15">
        <v>0.54369999999999996</v>
      </c>
      <c r="D15">
        <v>0.54369999999999996</v>
      </c>
      <c r="E15">
        <v>0.2626</v>
      </c>
      <c r="F15">
        <v>0.23530000000000001</v>
      </c>
      <c r="G15">
        <v>0.45829999999999999</v>
      </c>
      <c r="H15">
        <v>0.58850000000000002</v>
      </c>
      <c r="I15">
        <v>0.57889999999999997</v>
      </c>
      <c r="J15">
        <v>0.72689999999999999</v>
      </c>
      <c r="K15">
        <v>0.38300000000000001</v>
      </c>
      <c r="L15">
        <v>0.43180000000000002</v>
      </c>
      <c r="M15" t="s">
        <v>1638</v>
      </c>
    </row>
    <row r="16" spans="1:13" x14ac:dyDescent="0.25">
      <c r="A16" t="s">
        <v>1570</v>
      </c>
      <c r="B16">
        <v>1</v>
      </c>
      <c r="C16">
        <v>0</v>
      </c>
      <c r="D16">
        <v>0</v>
      </c>
      <c r="E16">
        <v>0.59219999999999995</v>
      </c>
      <c r="F16">
        <v>0</v>
      </c>
      <c r="G16">
        <v>0</v>
      </c>
      <c r="H16">
        <v>0</v>
      </c>
      <c r="I16">
        <v>0</v>
      </c>
      <c r="J16">
        <v>0.9748</v>
      </c>
      <c r="K16">
        <v>0.23400000000000001</v>
      </c>
      <c r="L16">
        <v>0.45450000000000002</v>
      </c>
      <c r="M16" t="s">
        <v>1637</v>
      </c>
    </row>
    <row r="17" spans="1:13" x14ac:dyDescent="0.25">
      <c r="A17" t="s">
        <v>1571</v>
      </c>
      <c r="B17">
        <v>0.32350000000000001</v>
      </c>
      <c r="C17">
        <v>0.67649999999999999</v>
      </c>
      <c r="D17">
        <v>0.67649999999999999</v>
      </c>
      <c r="E17">
        <v>1</v>
      </c>
      <c r="F17">
        <v>0.29409999999999997</v>
      </c>
      <c r="G17">
        <v>0.33329999999999999</v>
      </c>
      <c r="H17">
        <v>0.60770000000000002</v>
      </c>
      <c r="I17">
        <v>0.84209999999999996</v>
      </c>
      <c r="J17">
        <v>0.82350000000000001</v>
      </c>
      <c r="K17">
        <v>0.2979</v>
      </c>
      <c r="L17">
        <v>0.52270000000000005</v>
      </c>
      <c r="M17" t="s">
        <v>1638</v>
      </c>
    </row>
    <row r="18" spans="1:13" x14ac:dyDescent="0.25">
      <c r="A18" t="s">
        <v>1572</v>
      </c>
      <c r="B18">
        <v>0.60099999999999998</v>
      </c>
      <c r="C18">
        <v>0.39900000000000002</v>
      </c>
      <c r="D18">
        <v>0.39900000000000002</v>
      </c>
      <c r="E18">
        <v>0.28310000000000002</v>
      </c>
      <c r="F18">
        <v>0.4118</v>
      </c>
      <c r="G18">
        <v>0.58330000000000004</v>
      </c>
      <c r="H18">
        <v>0.68899999999999995</v>
      </c>
      <c r="I18">
        <v>0.78949999999999998</v>
      </c>
      <c r="J18">
        <v>0.92859999999999998</v>
      </c>
      <c r="K18">
        <v>0.44679999999999997</v>
      </c>
      <c r="L18">
        <v>0.43180000000000002</v>
      </c>
      <c r="M18" t="s">
        <v>1638</v>
      </c>
    </row>
    <row r="19" spans="1:13" x14ac:dyDescent="0.25">
      <c r="A19" t="s">
        <v>1573</v>
      </c>
      <c r="B19">
        <v>0.72309999999999997</v>
      </c>
      <c r="C19">
        <v>0.27689999999999998</v>
      </c>
      <c r="D19">
        <v>0.27689999999999998</v>
      </c>
      <c r="E19">
        <v>0.37430000000000002</v>
      </c>
      <c r="F19">
        <v>0</v>
      </c>
      <c r="G19">
        <v>0.45829999999999999</v>
      </c>
      <c r="H19">
        <v>0.45450000000000002</v>
      </c>
      <c r="I19">
        <v>0.26319999999999999</v>
      </c>
      <c r="J19">
        <v>0.89500000000000002</v>
      </c>
      <c r="K19">
        <v>8.5099999999999995E-2</v>
      </c>
      <c r="L19">
        <v>0.61360000000000003</v>
      </c>
      <c r="M19" t="s">
        <v>1637</v>
      </c>
    </row>
    <row r="20" spans="1:13" x14ac:dyDescent="0.25">
      <c r="A20" t="s">
        <v>1574</v>
      </c>
      <c r="B20">
        <v>0.59350000000000003</v>
      </c>
      <c r="C20">
        <v>0.40649999999999997</v>
      </c>
      <c r="D20">
        <v>0.40649999999999997</v>
      </c>
      <c r="E20">
        <v>0.22720000000000001</v>
      </c>
      <c r="F20">
        <v>0.29409999999999997</v>
      </c>
      <c r="G20">
        <v>0.45829999999999999</v>
      </c>
      <c r="H20">
        <v>0.65069999999999995</v>
      </c>
      <c r="I20">
        <v>0.52629999999999999</v>
      </c>
      <c r="J20">
        <v>0.5504</v>
      </c>
      <c r="K20">
        <v>0.59570000000000001</v>
      </c>
      <c r="L20">
        <v>0.54549999999999998</v>
      </c>
      <c r="M20" t="s">
        <v>1638</v>
      </c>
    </row>
    <row r="21" spans="1:13" x14ac:dyDescent="0.25">
      <c r="A21" t="s">
        <v>1575</v>
      </c>
      <c r="B21">
        <v>0.2152</v>
      </c>
      <c r="C21">
        <v>0.78480000000000005</v>
      </c>
      <c r="D21">
        <v>0.78480000000000005</v>
      </c>
      <c r="E21">
        <v>0.18060000000000001</v>
      </c>
      <c r="F21">
        <v>0.47060000000000002</v>
      </c>
      <c r="G21">
        <v>0.54169999999999996</v>
      </c>
      <c r="H21">
        <v>0.53590000000000004</v>
      </c>
      <c r="I21">
        <v>0.52629999999999999</v>
      </c>
      <c r="J21">
        <v>0</v>
      </c>
      <c r="K21">
        <v>0.42549999999999999</v>
      </c>
      <c r="L21">
        <v>0.4773</v>
      </c>
      <c r="M21" t="s">
        <v>1638</v>
      </c>
    </row>
    <row r="22" spans="1:13" x14ac:dyDescent="0.25">
      <c r="A22" t="s">
        <v>1576</v>
      </c>
      <c r="B22">
        <v>0.48170000000000002</v>
      </c>
      <c r="C22">
        <v>0.51829999999999998</v>
      </c>
      <c r="D22">
        <v>0.51829999999999998</v>
      </c>
      <c r="E22">
        <v>0.29609999999999997</v>
      </c>
      <c r="F22">
        <v>0.35289999999999999</v>
      </c>
      <c r="G22">
        <v>0.375</v>
      </c>
      <c r="H22">
        <v>0.57889999999999997</v>
      </c>
      <c r="I22">
        <v>0.68420000000000003</v>
      </c>
      <c r="J22">
        <v>0.83189999999999997</v>
      </c>
      <c r="K22">
        <v>1</v>
      </c>
      <c r="L22">
        <v>0.54549999999999998</v>
      </c>
      <c r="M22" t="s">
        <v>1638</v>
      </c>
    </row>
    <row r="23" spans="1:13" x14ac:dyDescent="0.25">
      <c r="A23" t="s">
        <v>1577</v>
      </c>
      <c r="B23">
        <v>0.52910000000000001</v>
      </c>
      <c r="C23">
        <v>0.47089999999999999</v>
      </c>
      <c r="D23">
        <v>0.47089999999999999</v>
      </c>
      <c r="E23">
        <v>0.21970000000000001</v>
      </c>
      <c r="F23">
        <v>0.47060000000000002</v>
      </c>
      <c r="G23">
        <v>0.83330000000000004</v>
      </c>
      <c r="H23">
        <v>0.92820000000000003</v>
      </c>
      <c r="I23">
        <v>0.89470000000000005</v>
      </c>
      <c r="J23">
        <v>0.65129999999999999</v>
      </c>
      <c r="K23">
        <v>0.78720000000000001</v>
      </c>
      <c r="L23">
        <v>0.59089999999999998</v>
      </c>
      <c r="M23" t="s">
        <v>1638</v>
      </c>
    </row>
    <row r="24" spans="1:13" x14ac:dyDescent="0.25">
      <c r="A24" t="s">
        <v>1578</v>
      </c>
      <c r="B24">
        <v>0.47339999999999999</v>
      </c>
      <c r="C24">
        <v>0.52659999999999996</v>
      </c>
      <c r="D24">
        <v>0.52659999999999996</v>
      </c>
      <c r="E24">
        <v>0.19550000000000001</v>
      </c>
      <c r="F24">
        <v>0.47060000000000002</v>
      </c>
      <c r="G24">
        <v>0.79169999999999996</v>
      </c>
      <c r="H24">
        <v>0.79430000000000001</v>
      </c>
      <c r="I24">
        <v>0.68420000000000003</v>
      </c>
      <c r="J24">
        <v>0.44540000000000002</v>
      </c>
      <c r="K24">
        <v>0.8085</v>
      </c>
      <c r="L24">
        <v>0.18179999999999999</v>
      </c>
      <c r="M24" t="s">
        <v>1638</v>
      </c>
    </row>
    <row r="25" spans="1:13" x14ac:dyDescent="0.25">
      <c r="A25" t="s">
        <v>1579</v>
      </c>
      <c r="B25">
        <v>0.73040000000000005</v>
      </c>
      <c r="C25">
        <v>0.26960000000000001</v>
      </c>
      <c r="D25">
        <v>0.26960000000000001</v>
      </c>
      <c r="E25">
        <v>0.35199999999999998</v>
      </c>
      <c r="F25">
        <v>0</v>
      </c>
      <c r="G25">
        <v>0.66669999999999996</v>
      </c>
      <c r="H25">
        <v>0.52629999999999999</v>
      </c>
      <c r="I25">
        <v>0.42109999999999997</v>
      </c>
      <c r="J25">
        <v>0.65129999999999999</v>
      </c>
      <c r="K25">
        <v>0.38300000000000001</v>
      </c>
      <c r="L25">
        <v>0.34089999999999998</v>
      </c>
      <c r="M25" t="s">
        <v>1638</v>
      </c>
    </row>
    <row r="26" spans="1:13" x14ac:dyDescent="0.25">
      <c r="A26" t="s">
        <v>1580</v>
      </c>
      <c r="B26">
        <v>0.1996</v>
      </c>
      <c r="C26">
        <v>0.8004</v>
      </c>
      <c r="D26">
        <v>0.8004</v>
      </c>
      <c r="E26">
        <v>0.1024</v>
      </c>
      <c r="F26">
        <v>0.70589999999999997</v>
      </c>
      <c r="G26">
        <v>0.875</v>
      </c>
      <c r="H26">
        <v>0.88039999999999996</v>
      </c>
      <c r="I26">
        <v>0.89470000000000005</v>
      </c>
      <c r="J26">
        <v>0.68069999999999997</v>
      </c>
      <c r="K26">
        <v>0.46810000000000002</v>
      </c>
      <c r="L26">
        <v>0.2273</v>
      </c>
      <c r="M26" t="s">
        <v>1639</v>
      </c>
    </row>
    <row r="27" spans="1:13" x14ac:dyDescent="0.25">
      <c r="A27" t="s">
        <v>1581</v>
      </c>
      <c r="B27">
        <v>0.22650000000000001</v>
      </c>
      <c r="C27">
        <v>0.77349999999999997</v>
      </c>
      <c r="D27">
        <v>0.77349999999999997</v>
      </c>
      <c r="E27">
        <v>6.5199999999999994E-2</v>
      </c>
      <c r="F27">
        <v>0.64710000000000001</v>
      </c>
      <c r="G27">
        <v>0.83330000000000004</v>
      </c>
      <c r="H27">
        <v>0.90910000000000002</v>
      </c>
      <c r="I27">
        <v>0.68420000000000003</v>
      </c>
      <c r="J27">
        <v>0.65549999999999997</v>
      </c>
      <c r="K27">
        <v>0.42549999999999999</v>
      </c>
      <c r="L27">
        <v>0.11360000000000001</v>
      </c>
      <c r="M27" t="s">
        <v>1639</v>
      </c>
    </row>
    <row r="28" spans="1:13" x14ac:dyDescent="0.25">
      <c r="A28" t="s">
        <v>1582</v>
      </c>
      <c r="B28">
        <v>0.74770000000000003</v>
      </c>
      <c r="C28">
        <v>0.25230000000000002</v>
      </c>
      <c r="D28">
        <v>0.25230000000000002</v>
      </c>
      <c r="E28">
        <v>0.32590000000000002</v>
      </c>
      <c r="F28">
        <v>0.4118</v>
      </c>
      <c r="G28">
        <v>0.625</v>
      </c>
      <c r="H28">
        <v>0.75119999999999998</v>
      </c>
      <c r="I28">
        <v>0.89470000000000005</v>
      </c>
      <c r="J28">
        <v>0.78990000000000005</v>
      </c>
      <c r="K28">
        <v>8.5099999999999995E-2</v>
      </c>
      <c r="L28">
        <v>0.15909999999999999</v>
      </c>
      <c r="M28" t="s">
        <v>1638</v>
      </c>
    </row>
    <row r="29" spans="1:13" x14ac:dyDescent="0.25">
      <c r="A29" t="s">
        <v>1583</v>
      </c>
      <c r="B29">
        <v>0.54239999999999999</v>
      </c>
      <c r="C29">
        <v>0.45760000000000001</v>
      </c>
      <c r="D29">
        <v>0.45760000000000001</v>
      </c>
      <c r="E29">
        <v>0.27929999999999999</v>
      </c>
      <c r="F29">
        <v>0.47060000000000002</v>
      </c>
      <c r="G29">
        <v>0.58330000000000004</v>
      </c>
      <c r="H29">
        <v>0.63160000000000005</v>
      </c>
      <c r="I29">
        <v>0.73680000000000001</v>
      </c>
      <c r="J29">
        <v>0.77310000000000001</v>
      </c>
      <c r="K29">
        <v>0.31909999999999999</v>
      </c>
      <c r="L29">
        <v>0.4773</v>
      </c>
      <c r="M29" t="s">
        <v>1638</v>
      </c>
    </row>
    <row r="30" spans="1:13" x14ac:dyDescent="0.25">
      <c r="A30" t="s">
        <v>1584</v>
      </c>
      <c r="B30">
        <v>0.22889999999999999</v>
      </c>
      <c r="C30">
        <v>0.77110000000000001</v>
      </c>
      <c r="D30">
        <v>0.77110000000000001</v>
      </c>
      <c r="E30">
        <v>0.1024</v>
      </c>
      <c r="F30">
        <v>0.70589999999999997</v>
      </c>
      <c r="G30">
        <v>0.83330000000000004</v>
      </c>
      <c r="H30">
        <v>0.88039999999999996</v>
      </c>
      <c r="I30">
        <v>0.78949999999999998</v>
      </c>
      <c r="J30">
        <v>0.5504</v>
      </c>
      <c r="K30">
        <v>0.82979999999999998</v>
      </c>
      <c r="L30">
        <v>0.36359999999999998</v>
      </c>
      <c r="M30" t="s">
        <v>1639</v>
      </c>
    </row>
    <row r="31" spans="1:13" x14ac:dyDescent="0.25">
      <c r="A31" t="s">
        <v>1585</v>
      </c>
      <c r="B31">
        <v>0.55969999999999998</v>
      </c>
      <c r="C31">
        <v>0.44030000000000002</v>
      </c>
      <c r="D31">
        <v>0.44030000000000002</v>
      </c>
      <c r="E31">
        <v>0.22720000000000001</v>
      </c>
      <c r="F31">
        <v>0.4118</v>
      </c>
      <c r="G31">
        <v>0.75</v>
      </c>
      <c r="H31">
        <v>0.72250000000000003</v>
      </c>
      <c r="I31">
        <v>0.73680000000000001</v>
      </c>
      <c r="J31">
        <v>0.74790000000000001</v>
      </c>
      <c r="K31">
        <v>0.44679999999999997</v>
      </c>
      <c r="L31">
        <v>0.15909999999999999</v>
      </c>
      <c r="M31" t="s">
        <v>1638</v>
      </c>
    </row>
    <row r="32" spans="1:13" x14ac:dyDescent="0.25">
      <c r="A32" t="s">
        <v>1586</v>
      </c>
      <c r="B32">
        <v>0.55520000000000003</v>
      </c>
      <c r="C32">
        <v>0.44479999999999997</v>
      </c>
      <c r="D32">
        <v>0.44479999999999997</v>
      </c>
      <c r="E32">
        <v>0.43020000000000003</v>
      </c>
      <c r="F32">
        <v>0.35289999999999999</v>
      </c>
      <c r="G32">
        <v>0.70830000000000004</v>
      </c>
      <c r="H32">
        <v>0.57889999999999997</v>
      </c>
      <c r="I32">
        <v>0.73680000000000001</v>
      </c>
      <c r="J32">
        <v>0.68489999999999995</v>
      </c>
      <c r="K32">
        <v>0.12770000000000001</v>
      </c>
      <c r="L32">
        <v>9.0899999999999995E-2</v>
      </c>
      <c r="M32" t="s">
        <v>1638</v>
      </c>
    </row>
    <row r="33" spans="1:13" x14ac:dyDescent="0.25">
      <c r="A33" t="s">
        <v>1587</v>
      </c>
      <c r="B33">
        <v>0</v>
      </c>
      <c r="C33">
        <v>1</v>
      </c>
      <c r="D33">
        <v>1</v>
      </c>
      <c r="E33">
        <v>0</v>
      </c>
      <c r="F33">
        <v>0.64710000000000001</v>
      </c>
      <c r="G33">
        <v>0.91669999999999996</v>
      </c>
      <c r="H33">
        <v>0.97130000000000005</v>
      </c>
      <c r="I33">
        <v>0.94740000000000002</v>
      </c>
      <c r="J33">
        <v>0.73950000000000005</v>
      </c>
      <c r="K33">
        <v>0.40429999999999999</v>
      </c>
      <c r="L33">
        <v>0.18179999999999999</v>
      </c>
      <c r="M33" t="s">
        <v>1639</v>
      </c>
    </row>
    <row r="34" spans="1:13" x14ac:dyDescent="0.25">
      <c r="A34" t="s">
        <v>1588</v>
      </c>
      <c r="B34">
        <v>0.17760000000000001</v>
      </c>
      <c r="C34">
        <v>0.82240000000000002</v>
      </c>
      <c r="D34">
        <v>0.82240000000000002</v>
      </c>
      <c r="E34">
        <v>7.4499999999999997E-2</v>
      </c>
      <c r="F34">
        <v>0.94120000000000004</v>
      </c>
      <c r="G34">
        <v>0.95830000000000004</v>
      </c>
      <c r="H34">
        <v>0.9617</v>
      </c>
      <c r="I34">
        <v>0.84209999999999996</v>
      </c>
      <c r="J34">
        <v>0.80669999999999997</v>
      </c>
      <c r="K34">
        <v>0.10639999999999999</v>
      </c>
      <c r="L34">
        <v>0.4773</v>
      </c>
      <c r="M34" t="s">
        <v>1639</v>
      </c>
    </row>
    <row r="35" spans="1:13" x14ac:dyDescent="0.25">
      <c r="A35" t="s">
        <v>1589</v>
      </c>
      <c r="B35">
        <v>2.98E-2</v>
      </c>
      <c r="C35">
        <v>0.97019999999999995</v>
      </c>
      <c r="D35">
        <v>0.97019999999999995</v>
      </c>
      <c r="E35">
        <v>2.4199999999999999E-2</v>
      </c>
      <c r="F35">
        <v>0.88239999999999996</v>
      </c>
      <c r="G35">
        <v>1</v>
      </c>
      <c r="H35">
        <v>1</v>
      </c>
      <c r="I35">
        <v>1</v>
      </c>
      <c r="J35">
        <v>0.49159999999999998</v>
      </c>
      <c r="K35">
        <v>0.61699999999999999</v>
      </c>
      <c r="L35">
        <v>0.4773</v>
      </c>
      <c r="M35" t="s">
        <v>1639</v>
      </c>
    </row>
    <row r="36" spans="1:13" x14ac:dyDescent="0.25">
      <c r="A36" t="s">
        <v>1590</v>
      </c>
      <c r="B36">
        <v>0.2954</v>
      </c>
      <c r="C36">
        <v>0.7046</v>
      </c>
      <c r="D36">
        <v>0.7046</v>
      </c>
      <c r="E36">
        <v>0.1173</v>
      </c>
      <c r="F36">
        <v>1</v>
      </c>
      <c r="G36">
        <v>0.75</v>
      </c>
      <c r="H36">
        <v>0.80859999999999999</v>
      </c>
      <c r="I36">
        <v>0.84209999999999996</v>
      </c>
      <c r="J36">
        <v>0.90339999999999998</v>
      </c>
      <c r="K36">
        <v>0.1915</v>
      </c>
      <c r="L36">
        <v>0.20449999999999999</v>
      </c>
      <c r="M36" t="s">
        <v>1639</v>
      </c>
    </row>
    <row r="37" spans="1:13" x14ac:dyDescent="0.25">
      <c r="A37" t="s">
        <v>1591</v>
      </c>
      <c r="B37">
        <v>0.52280000000000004</v>
      </c>
      <c r="C37">
        <v>0.47720000000000001</v>
      </c>
      <c r="D37">
        <v>0.47720000000000001</v>
      </c>
      <c r="E37">
        <v>0.21790000000000001</v>
      </c>
      <c r="F37">
        <v>0.4118</v>
      </c>
      <c r="G37">
        <v>0.625</v>
      </c>
      <c r="H37">
        <v>0.65549999999999997</v>
      </c>
      <c r="I37">
        <v>0.63160000000000005</v>
      </c>
      <c r="J37">
        <v>0.86550000000000005</v>
      </c>
      <c r="K37">
        <v>2.1299999999999999E-2</v>
      </c>
      <c r="L37">
        <v>0.40910000000000002</v>
      </c>
      <c r="M37" t="s">
        <v>1638</v>
      </c>
    </row>
    <row r="38" spans="1:13" x14ac:dyDescent="0.25">
      <c r="A38" t="s">
        <v>1592</v>
      </c>
      <c r="B38">
        <v>0.29060000000000002</v>
      </c>
      <c r="C38">
        <v>0.70940000000000003</v>
      </c>
      <c r="D38">
        <v>0.70940000000000003</v>
      </c>
      <c r="E38">
        <v>0.13780000000000001</v>
      </c>
      <c r="F38">
        <v>0.70589999999999997</v>
      </c>
      <c r="G38">
        <v>0.79169999999999996</v>
      </c>
      <c r="H38">
        <v>0.86599999999999999</v>
      </c>
      <c r="I38">
        <v>0.94740000000000002</v>
      </c>
      <c r="J38">
        <v>0.89500000000000002</v>
      </c>
      <c r="K38">
        <v>0.31909999999999999</v>
      </c>
      <c r="L38">
        <v>0.4773</v>
      </c>
      <c r="M38" t="s">
        <v>1639</v>
      </c>
    </row>
    <row r="39" spans="1:13" x14ac:dyDescent="0.25">
      <c r="A39" t="s">
        <v>1593</v>
      </c>
      <c r="B39">
        <v>0.59430000000000005</v>
      </c>
      <c r="C39">
        <v>0.40570000000000001</v>
      </c>
      <c r="D39">
        <v>0.40570000000000001</v>
      </c>
      <c r="E39">
        <v>0.18809999999999999</v>
      </c>
      <c r="F39">
        <v>0.52939999999999998</v>
      </c>
      <c r="G39">
        <v>0.625</v>
      </c>
      <c r="H39">
        <v>0.77510000000000001</v>
      </c>
      <c r="I39">
        <v>0.89470000000000005</v>
      </c>
      <c r="J39">
        <v>0.72270000000000001</v>
      </c>
      <c r="K39">
        <v>0.87229999999999996</v>
      </c>
      <c r="L39">
        <v>0.84089999999999998</v>
      </c>
      <c r="M39" t="s">
        <v>1638</v>
      </c>
    </row>
    <row r="40" spans="1:13" x14ac:dyDescent="0.25">
      <c r="A40" t="s">
        <v>1594</v>
      </c>
      <c r="B40">
        <v>0.31469999999999998</v>
      </c>
      <c r="C40">
        <v>0.68530000000000002</v>
      </c>
      <c r="D40">
        <v>0.68530000000000002</v>
      </c>
      <c r="E40">
        <v>0.8417</v>
      </c>
      <c r="F40">
        <v>0.58819999999999995</v>
      </c>
      <c r="G40">
        <v>0.66669999999999996</v>
      </c>
      <c r="H40">
        <v>0.77510000000000001</v>
      </c>
      <c r="I40">
        <v>1</v>
      </c>
      <c r="J40">
        <v>0.64290000000000003</v>
      </c>
      <c r="K40">
        <v>0.61699999999999999</v>
      </c>
      <c r="L40">
        <v>0.5</v>
      </c>
      <c r="M40" t="s">
        <v>1638</v>
      </c>
    </row>
    <row r="41" spans="1:13" x14ac:dyDescent="0.25">
      <c r="A41" t="s">
        <v>1595</v>
      </c>
      <c r="B41">
        <v>0.18429999999999999</v>
      </c>
      <c r="C41">
        <v>0.81569999999999998</v>
      </c>
      <c r="D41">
        <v>0.81569999999999998</v>
      </c>
      <c r="E41">
        <v>0.13220000000000001</v>
      </c>
      <c r="F41">
        <v>0.35289999999999999</v>
      </c>
      <c r="G41">
        <v>0.79169999999999996</v>
      </c>
      <c r="H41">
        <v>0.6986</v>
      </c>
      <c r="I41">
        <v>0.73680000000000001</v>
      </c>
      <c r="J41">
        <v>0.93279999999999996</v>
      </c>
      <c r="K41">
        <v>0.34039999999999998</v>
      </c>
      <c r="L41">
        <v>0.2273</v>
      </c>
      <c r="M41" t="s">
        <v>1638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14"/>
  <sheetViews>
    <sheetView workbookViewId="0">
      <selection activeCell="C6" sqref="C6"/>
    </sheetView>
  </sheetViews>
  <sheetFormatPr defaultRowHeight="15" x14ac:dyDescent="0.25"/>
  <cols>
    <col min="1" max="4" width="17" customWidth="1"/>
  </cols>
  <sheetData>
    <row r="1" spans="1:4" x14ac:dyDescent="0.25">
      <c r="A1" s="51" t="s">
        <v>1673</v>
      </c>
      <c r="B1" s="51"/>
      <c r="C1" s="51"/>
      <c r="D1" s="51"/>
    </row>
    <row r="2" spans="1:4" x14ac:dyDescent="0.25">
      <c r="A2" s="51"/>
      <c r="B2" s="51"/>
      <c r="C2" s="51"/>
      <c r="D2" s="51"/>
    </row>
    <row r="3" spans="1:4" x14ac:dyDescent="0.25">
      <c r="A3" s="75" t="s">
        <v>1598</v>
      </c>
      <c r="B3" s="75" t="s">
        <v>1637</v>
      </c>
      <c r="C3" s="75" t="s">
        <v>1638</v>
      </c>
      <c r="D3" s="75" t="s">
        <v>1639</v>
      </c>
    </row>
    <row r="4" spans="1:4" x14ac:dyDescent="0.25">
      <c r="A4" s="51" t="s">
        <v>45</v>
      </c>
      <c r="B4" s="52">
        <v>0.86155000000000004</v>
      </c>
      <c r="C4" s="52">
        <v>0.483352</v>
      </c>
      <c r="D4" s="52">
        <v>0.2075153846153846</v>
      </c>
    </row>
    <row r="5" spans="1:4" x14ac:dyDescent="0.25">
      <c r="A5" s="51" t="s">
        <v>1596</v>
      </c>
      <c r="B5" s="52">
        <v>0.13844999999999999</v>
      </c>
      <c r="C5" s="52">
        <v>0.516648</v>
      </c>
      <c r="D5" s="52">
        <v>0.79248461538461545</v>
      </c>
    </row>
    <row r="6" spans="1:4" x14ac:dyDescent="0.25">
      <c r="A6" s="51" t="s">
        <v>46</v>
      </c>
      <c r="B6" s="52">
        <v>0.13844999999999999</v>
      </c>
      <c r="C6" s="52">
        <v>0.516648</v>
      </c>
      <c r="D6" s="52">
        <v>0.79248461538461545</v>
      </c>
    </row>
    <row r="7" spans="1:4" x14ac:dyDescent="0.25">
      <c r="A7" s="51" t="s">
        <v>1597</v>
      </c>
      <c r="B7" s="52">
        <v>0.48325000000000001</v>
      </c>
      <c r="C7" s="52">
        <v>0.30086000000000002</v>
      </c>
      <c r="D7" s="52">
        <v>8.9676923076923071E-2</v>
      </c>
    </row>
    <row r="8" spans="1:4" x14ac:dyDescent="0.25">
      <c r="A8" s="51" t="s">
        <v>1539</v>
      </c>
      <c r="B8" s="52">
        <v>0</v>
      </c>
      <c r="C8" s="52">
        <v>0.41411999999999999</v>
      </c>
      <c r="D8" s="52">
        <v>0.76019999999999999</v>
      </c>
    </row>
    <row r="9" spans="1:4" x14ac:dyDescent="0.25">
      <c r="A9" s="51" t="s">
        <v>1541</v>
      </c>
      <c r="B9" s="52">
        <v>0.22914999999999999</v>
      </c>
      <c r="C9" s="52">
        <v>0.64</v>
      </c>
      <c r="D9" s="52">
        <v>0.9006384615384615</v>
      </c>
    </row>
    <row r="10" spans="1:4" x14ac:dyDescent="0.25">
      <c r="A10" s="51" t="s">
        <v>1542</v>
      </c>
      <c r="B10" s="52">
        <v>0.22725000000000001</v>
      </c>
      <c r="C10" s="52">
        <v>0.68803599999999998</v>
      </c>
      <c r="D10" s="52">
        <v>0.90320769230769227</v>
      </c>
    </row>
    <row r="11" spans="1:4" x14ac:dyDescent="0.25">
      <c r="A11" s="51" t="s">
        <v>1543</v>
      </c>
      <c r="B11" s="52">
        <v>0.13159999999999999</v>
      </c>
      <c r="C11" s="52">
        <v>0.73682400000000003</v>
      </c>
      <c r="D11" s="52">
        <v>0.86234615384615387</v>
      </c>
    </row>
    <row r="12" spans="1:4" x14ac:dyDescent="0.25">
      <c r="A12" s="51" t="s">
        <v>1547</v>
      </c>
      <c r="B12" s="52">
        <v>0.93489999999999995</v>
      </c>
      <c r="C12" s="52">
        <v>0.73950000000000005</v>
      </c>
      <c r="D12" s="52">
        <v>0.73271538461538455</v>
      </c>
    </row>
    <row r="13" spans="1:4" x14ac:dyDescent="0.25">
      <c r="A13" s="51" t="s">
        <v>1549</v>
      </c>
      <c r="B13" s="52">
        <v>0.15955</v>
      </c>
      <c r="C13" s="52">
        <v>0.40254800000000002</v>
      </c>
      <c r="D13" s="52">
        <v>0.4058846153846154</v>
      </c>
    </row>
    <row r="14" spans="1:4" x14ac:dyDescent="0.25">
      <c r="A14" s="51" t="s">
        <v>1550</v>
      </c>
      <c r="B14" s="52">
        <v>0.53405000000000002</v>
      </c>
      <c r="C14" s="52">
        <v>0.34636800000000001</v>
      </c>
      <c r="D14" s="52">
        <v>0.37762307692307689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19"/>
  <sheetViews>
    <sheetView workbookViewId="0">
      <selection activeCell="B16" sqref="B16"/>
    </sheetView>
  </sheetViews>
  <sheetFormatPr defaultRowHeight="15" x14ac:dyDescent="0.25"/>
  <cols>
    <col min="1" max="1" width="38.5703125" customWidth="1"/>
    <col min="2" max="2" width="23.85546875" customWidth="1"/>
  </cols>
  <sheetData>
    <row r="1" spans="1:5" x14ac:dyDescent="0.25">
      <c r="A1" t="s">
        <v>1674</v>
      </c>
    </row>
    <row r="3" spans="1:5" x14ac:dyDescent="0.25">
      <c r="A3" t="s">
        <v>1598</v>
      </c>
      <c r="B3" t="s">
        <v>40</v>
      </c>
      <c r="C3" t="s">
        <v>1637</v>
      </c>
      <c r="D3" t="s">
        <v>1638</v>
      </c>
      <c r="E3" t="s">
        <v>1639</v>
      </c>
    </row>
    <row r="4" spans="1:5" x14ac:dyDescent="0.25">
      <c r="A4" t="s">
        <v>45</v>
      </c>
      <c r="B4" s="79">
        <v>0.46339999999999998</v>
      </c>
      <c r="C4" s="79">
        <v>0.86160000000000003</v>
      </c>
      <c r="D4" s="79">
        <v>0.4834</v>
      </c>
      <c r="E4" s="79">
        <v>0.20749999999999999</v>
      </c>
    </row>
    <row r="5" spans="1:5" x14ac:dyDescent="0.25">
      <c r="A5" t="s">
        <v>1596</v>
      </c>
      <c r="B5" s="79">
        <v>0.53659999999999997</v>
      </c>
      <c r="C5" s="79">
        <v>0.1384</v>
      </c>
      <c r="D5" s="79">
        <v>0.51659999999999995</v>
      </c>
      <c r="E5" s="79">
        <v>0.79249999999999998</v>
      </c>
    </row>
    <row r="6" spans="1:5" x14ac:dyDescent="0.25">
      <c r="A6" t="s">
        <v>46</v>
      </c>
      <c r="B6" s="79">
        <v>0.53659999999999997</v>
      </c>
      <c r="C6" s="79">
        <v>0.1384</v>
      </c>
      <c r="D6" s="79">
        <v>0.51659999999999995</v>
      </c>
      <c r="E6" s="79">
        <v>0.79249999999999998</v>
      </c>
    </row>
    <row r="7" spans="1:5" x14ac:dyDescent="0.25">
      <c r="A7" t="s">
        <v>1597</v>
      </c>
      <c r="B7" s="79">
        <v>0.17879999999999999</v>
      </c>
      <c r="C7" s="79">
        <v>0.48320000000000002</v>
      </c>
      <c r="D7" s="79">
        <v>0.3009</v>
      </c>
      <c r="E7" s="79">
        <v>8.9700000000000002E-2</v>
      </c>
    </row>
    <row r="8" spans="1:5" x14ac:dyDescent="0.25">
      <c r="A8" t="s">
        <v>1539</v>
      </c>
      <c r="B8" s="79">
        <v>0.76470000000000005</v>
      </c>
      <c r="C8" s="79">
        <v>0</v>
      </c>
      <c r="D8" s="79">
        <v>0.41410000000000002</v>
      </c>
      <c r="E8" s="79">
        <v>0.76019999999999999</v>
      </c>
    </row>
    <row r="9" spans="1:5" x14ac:dyDescent="0.25">
      <c r="A9" t="s">
        <v>1541</v>
      </c>
      <c r="B9" s="79">
        <v>0.91669999999999996</v>
      </c>
      <c r="C9" s="79">
        <v>0.2291</v>
      </c>
      <c r="D9" s="79">
        <v>0.64</v>
      </c>
      <c r="E9" s="79">
        <v>0.90059999999999996</v>
      </c>
    </row>
    <row r="10" spans="1:5" x14ac:dyDescent="0.25">
      <c r="A10" t="s">
        <v>1542</v>
      </c>
      <c r="B10" s="79">
        <v>0.85650000000000004</v>
      </c>
      <c r="C10" s="79">
        <v>0.2273</v>
      </c>
      <c r="D10" s="79">
        <v>0.68799999999999994</v>
      </c>
      <c r="E10" s="79">
        <v>0.9032</v>
      </c>
    </row>
    <row r="11" spans="1:5" x14ac:dyDescent="0.25">
      <c r="A11" t="s">
        <v>1543</v>
      </c>
      <c r="B11" s="79">
        <v>0.89470000000000005</v>
      </c>
      <c r="C11" s="79">
        <v>0.13159999999999999</v>
      </c>
      <c r="D11" s="79">
        <v>0.73680000000000001</v>
      </c>
      <c r="E11" s="79">
        <v>0.86229999999999996</v>
      </c>
    </row>
    <row r="12" spans="1:5" x14ac:dyDescent="0.25">
      <c r="A12" t="s">
        <v>1547</v>
      </c>
      <c r="B12" s="79">
        <v>0.89500000000000002</v>
      </c>
      <c r="C12" s="79">
        <v>0.93489999999999995</v>
      </c>
      <c r="D12" s="79">
        <v>0.73950000000000005</v>
      </c>
      <c r="E12" s="79">
        <v>0.73270000000000002</v>
      </c>
    </row>
    <row r="13" spans="1:5" x14ac:dyDescent="0.25">
      <c r="A13" t="s">
        <v>1549</v>
      </c>
      <c r="B13" s="79">
        <v>0.63829999999999998</v>
      </c>
      <c r="C13" s="79">
        <v>0.1595</v>
      </c>
      <c r="D13" s="79">
        <v>0.40250000000000002</v>
      </c>
      <c r="E13" s="79">
        <v>0.40589999999999998</v>
      </c>
    </row>
    <row r="14" spans="1:5" x14ac:dyDescent="0.25">
      <c r="A14" t="s">
        <v>1550</v>
      </c>
      <c r="B14" s="79">
        <v>1</v>
      </c>
      <c r="C14" s="79">
        <v>0.53410000000000002</v>
      </c>
      <c r="D14" s="79">
        <v>0.34639999999999999</v>
      </c>
      <c r="E14" s="79">
        <v>0.37759999999999999</v>
      </c>
    </row>
    <row r="16" spans="1:5" x14ac:dyDescent="0.25">
      <c r="A16" t="s">
        <v>1675</v>
      </c>
      <c r="B16" s="79">
        <f>SQRT((B4-C4)^2+(B5-C5)^2+(B6-C6)^2+(B7-C7)^2+(B8-C8)^2+(B9-C9)^2+(B10-C10)^2+(B11-C11)^2+(B12-C12)^2+(B13-C13)^2+(B14-C14)^2)</f>
        <v>1.7470052776108034</v>
      </c>
    </row>
    <row r="17" spans="1:2" x14ac:dyDescent="0.25">
      <c r="A17" t="s">
        <v>1676</v>
      </c>
      <c r="B17" s="79">
        <f>SQRT((B4-D4)^2+(B5-D5)^2+(B6-D6)^2+(B7-D7)^2+(B8-D8)^2+(B9-D9)^2+(B10-D10)^2+(B11-D11)^2+(B12-D12)^2+(B13-D13)^2+(B14-D14)^2)</f>
        <v>0.88084684820915371</v>
      </c>
    </row>
    <row r="18" spans="1:2" x14ac:dyDescent="0.25">
      <c r="A18" t="s">
        <v>1677</v>
      </c>
      <c r="B18" s="79">
        <f>SQRT((B4-E4)^2+(B5-E5)^2+(B6-E6)^2+(B7-E7)^2+(B8-E8)^2+(B9-E9)^2+(B10-E10)^2+(B11-E11)^2+(B12-E12)^2+(B13-E13)^2+(B14-E14)^2)</f>
        <v>0.82197089972820814</v>
      </c>
    </row>
    <row r="19" spans="1:2" x14ac:dyDescent="0.25">
      <c r="A19" t="s">
        <v>1636</v>
      </c>
      <c r="B19" t="str">
        <f>IF(B16=MIN(B16:B18),"C1",IF(B17=MIN(B16:B18),"C2","C3"))</f>
        <v>C3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14"/>
  <sheetViews>
    <sheetView tabSelected="1" workbookViewId="0">
      <selection activeCell="C17" sqref="C17"/>
    </sheetView>
  </sheetViews>
  <sheetFormatPr defaultRowHeight="15" x14ac:dyDescent="0.25"/>
  <cols>
    <col min="1" max="1" width="49.42578125" customWidth="1"/>
    <col min="2" max="2" width="15.85546875" customWidth="1"/>
    <col min="3" max="3" width="15.7109375" customWidth="1"/>
    <col min="4" max="4" width="14" customWidth="1"/>
  </cols>
  <sheetData>
    <row r="1" spans="1:4" x14ac:dyDescent="0.25">
      <c r="A1" t="s">
        <v>1678</v>
      </c>
    </row>
    <row r="3" spans="1:4" x14ac:dyDescent="0.25">
      <c r="A3" t="s">
        <v>1598</v>
      </c>
      <c r="B3" t="s">
        <v>1637</v>
      </c>
      <c r="C3" t="s">
        <v>1638</v>
      </c>
      <c r="D3" t="s">
        <v>1639</v>
      </c>
    </row>
    <row r="4" spans="1:4" x14ac:dyDescent="0.25">
      <c r="A4" t="s">
        <v>45</v>
      </c>
      <c r="B4" s="79">
        <v>0.86160000000000003</v>
      </c>
      <c r="C4" s="79">
        <v>0.4834</v>
      </c>
      <c r="D4" s="79">
        <v>0.20749999999999999</v>
      </c>
    </row>
    <row r="5" spans="1:4" x14ac:dyDescent="0.25">
      <c r="A5" t="s">
        <v>1596</v>
      </c>
      <c r="B5" s="79">
        <v>0.1384</v>
      </c>
      <c r="C5" s="79">
        <v>0.51659999999999995</v>
      </c>
      <c r="D5" s="79">
        <v>0.79249999999999998</v>
      </c>
    </row>
    <row r="6" spans="1:4" x14ac:dyDescent="0.25">
      <c r="A6" t="s">
        <v>46</v>
      </c>
      <c r="B6" s="79">
        <v>0.1384</v>
      </c>
      <c r="C6" s="79">
        <v>0.51659999999999995</v>
      </c>
      <c r="D6" s="79">
        <v>0.79249999999999998</v>
      </c>
    </row>
    <row r="7" spans="1:4" x14ac:dyDescent="0.25">
      <c r="A7" t="s">
        <v>1597</v>
      </c>
      <c r="B7" s="79">
        <v>0.48320000000000002</v>
      </c>
      <c r="C7" s="79">
        <v>0.3009</v>
      </c>
      <c r="D7" s="79">
        <v>8.9700000000000002E-2</v>
      </c>
    </row>
    <row r="8" spans="1:4" x14ac:dyDescent="0.25">
      <c r="A8" t="s">
        <v>1539</v>
      </c>
      <c r="B8" s="79">
        <v>0</v>
      </c>
      <c r="C8" s="79">
        <v>0.41410000000000002</v>
      </c>
      <c r="D8" s="79">
        <v>0.76019999999999999</v>
      </c>
    </row>
    <row r="9" spans="1:4" x14ac:dyDescent="0.25">
      <c r="A9" t="s">
        <v>1541</v>
      </c>
      <c r="B9" s="79">
        <v>0.2291</v>
      </c>
      <c r="C9" s="79">
        <v>0.64</v>
      </c>
      <c r="D9" s="79">
        <v>0.90059999999999996</v>
      </c>
    </row>
    <row r="10" spans="1:4" x14ac:dyDescent="0.25">
      <c r="A10" t="s">
        <v>1542</v>
      </c>
      <c r="B10" s="79">
        <v>0.2273</v>
      </c>
      <c r="C10" s="79">
        <v>0.68799999999999994</v>
      </c>
      <c r="D10" s="79">
        <v>0.9032</v>
      </c>
    </row>
    <row r="11" spans="1:4" x14ac:dyDescent="0.25">
      <c r="A11" t="s">
        <v>1543</v>
      </c>
      <c r="B11" s="79">
        <v>0.13159999999999999</v>
      </c>
      <c r="C11" s="79">
        <v>0.73680000000000001</v>
      </c>
      <c r="D11" s="79">
        <v>0.86229999999999996</v>
      </c>
    </row>
    <row r="12" spans="1:4" x14ac:dyDescent="0.25">
      <c r="A12" t="s">
        <v>1547</v>
      </c>
      <c r="B12" s="79">
        <v>0.93489999999999995</v>
      </c>
      <c r="C12" s="79">
        <v>0.73950000000000005</v>
      </c>
      <c r="D12" s="79">
        <v>0.73270000000000002</v>
      </c>
    </row>
    <row r="13" spans="1:4" x14ac:dyDescent="0.25">
      <c r="A13" t="s">
        <v>1549</v>
      </c>
      <c r="B13" s="79">
        <v>0.1595</v>
      </c>
      <c r="C13" s="79">
        <v>0.40250000000000002</v>
      </c>
      <c r="D13" s="79">
        <v>0.40589999999999998</v>
      </c>
    </row>
    <row r="14" spans="1:4" x14ac:dyDescent="0.25">
      <c r="A14" t="s">
        <v>1550</v>
      </c>
      <c r="B14" s="79">
        <v>0.53410000000000002</v>
      </c>
      <c r="C14" s="79">
        <v>0.34639999999999999</v>
      </c>
      <c r="D14" s="79">
        <v>0.37759999999999999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15"/>
  <sheetViews>
    <sheetView workbookViewId="0"/>
  </sheetViews>
  <sheetFormatPr defaultRowHeight="15" x14ac:dyDescent="0.25"/>
  <cols>
    <col min="1" max="4" width="17" customWidth="1"/>
  </cols>
  <sheetData>
    <row r="1" spans="1:4" ht="30" x14ac:dyDescent="0.25">
      <c r="A1" s="41" t="s">
        <v>1679</v>
      </c>
      <c r="B1" s="41"/>
      <c r="C1" s="41"/>
      <c r="D1" s="41"/>
    </row>
    <row r="2" spans="1:4" ht="75" x14ac:dyDescent="0.25">
      <c r="A2" s="41" t="s">
        <v>1680</v>
      </c>
      <c r="B2" s="41"/>
      <c r="C2" s="41"/>
      <c r="D2" s="41"/>
    </row>
    <row r="3" spans="1:4" x14ac:dyDescent="0.25">
      <c r="A3" s="41"/>
      <c r="B3" s="41"/>
      <c r="C3" s="41"/>
      <c r="D3" s="41"/>
    </row>
    <row r="4" spans="1:4" x14ac:dyDescent="0.25">
      <c r="A4" s="80" t="s">
        <v>1598</v>
      </c>
      <c r="B4" s="80" t="s">
        <v>1637</v>
      </c>
      <c r="C4" s="80" t="s">
        <v>1638</v>
      </c>
      <c r="D4" s="80" t="s">
        <v>1639</v>
      </c>
    </row>
    <row r="5" spans="1:4" x14ac:dyDescent="0.25">
      <c r="A5" s="41" t="s">
        <v>1601</v>
      </c>
      <c r="B5" s="81">
        <v>0.86160000000000003</v>
      </c>
      <c r="C5" s="81">
        <v>0.504</v>
      </c>
      <c r="D5" s="81">
        <v>0.21260000000000001</v>
      </c>
    </row>
    <row r="6" spans="1:4" x14ac:dyDescent="0.25">
      <c r="A6" s="41" t="s">
        <v>1596</v>
      </c>
      <c r="B6" s="81">
        <v>0.1384</v>
      </c>
      <c r="C6" s="81">
        <v>0.496</v>
      </c>
      <c r="D6" s="81">
        <v>0.78739999999999999</v>
      </c>
    </row>
    <row r="7" spans="1:4" x14ac:dyDescent="0.25">
      <c r="A7" s="41" t="s">
        <v>1605</v>
      </c>
      <c r="B7" s="81">
        <v>0.1384</v>
      </c>
      <c r="C7" s="81">
        <v>0.496</v>
      </c>
      <c r="D7" s="81">
        <v>0.78739999999999999</v>
      </c>
    </row>
    <row r="8" spans="1:4" x14ac:dyDescent="0.25">
      <c r="A8" s="41" t="s">
        <v>1597</v>
      </c>
      <c r="B8" s="81">
        <v>0.48320000000000002</v>
      </c>
      <c r="C8" s="81">
        <v>0.3145</v>
      </c>
      <c r="D8" s="81">
        <v>9.7000000000000003E-2</v>
      </c>
    </row>
    <row r="9" spans="1:4" x14ac:dyDescent="0.25">
      <c r="A9" s="41" t="s">
        <v>1539</v>
      </c>
      <c r="B9" s="81">
        <v>0</v>
      </c>
      <c r="C9" s="81">
        <v>0.40410000000000001</v>
      </c>
      <c r="D9" s="81">
        <v>0.72940000000000005</v>
      </c>
    </row>
    <row r="10" spans="1:4" x14ac:dyDescent="0.25">
      <c r="A10" s="41" t="s">
        <v>1609</v>
      </c>
      <c r="B10" s="81">
        <v>0.2291</v>
      </c>
      <c r="C10" s="81">
        <v>0.62680000000000002</v>
      </c>
      <c r="D10" s="81">
        <v>0.8861</v>
      </c>
    </row>
    <row r="11" spans="1:4" x14ac:dyDescent="0.25">
      <c r="A11" s="41" t="s">
        <v>1542</v>
      </c>
      <c r="B11" s="81">
        <v>0.2273</v>
      </c>
      <c r="C11" s="81">
        <v>0.68689999999999996</v>
      </c>
      <c r="D11" s="81">
        <v>0.87619999999999998</v>
      </c>
    </row>
    <row r="12" spans="1:4" x14ac:dyDescent="0.25">
      <c r="A12" s="41" t="s">
        <v>1543</v>
      </c>
      <c r="B12" s="81">
        <v>0.13159999999999999</v>
      </c>
      <c r="C12" s="81">
        <v>0.73219999999999996</v>
      </c>
      <c r="D12" s="81">
        <v>0.85260000000000002</v>
      </c>
    </row>
    <row r="13" spans="1:4" x14ac:dyDescent="0.25">
      <c r="A13" s="41" t="s">
        <v>1547</v>
      </c>
      <c r="B13" s="81">
        <v>0.93489999999999995</v>
      </c>
      <c r="C13" s="81">
        <v>0.7198</v>
      </c>
      <c r="D13" s="81">
        <v>0.76390000000000002</v>
      </c>
    </row>
    <row r="14" spans="1:4" x14ac:dyDescent="0.25">
      <c r="A14" s="41" t="s">
        <v>1611</v>
      </c>
      <c r="B14" s="81">
        <v>0.1595</v>
      </c>
      <c r="C14" s="81">
        <v>0.41810000000000003</v>
      </c>
      <c r="D14" s="81">
        <v>0.38159999999999999</v>
      </c>
    </row>
    <row r="15" spans="1:4" x14ac:dyDescent="0.25">
      <c r="A15" s="41" t="s">
        <v>1613</v>
      </c>
      <c r="B15" s="81">
        <v>0.53410000000000002</v>
      </c>
      <c r="C15" s="81">
        <v>0.36070000000000002</v>
      </c>
      <c r="D15" s="81">
        <v>0.35149999999999998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Z44"/>
  <sheetViews>
    <sheetView topLeftCell="L29" workbookViewId="0">
      <selection activeCell="M5" sqref="M5:P44"/>
    </sheetView>
  </sheetViews>
  <sheetFormatPr defaultRowHeight="15" x14ac:dyDescent="0.25"/>
  <cols>
    <col min="1" max="17" width="17" customWidth="1"/>
    <col min="18" max="21" width="17" hidden="1" customWidth="1"/>
    <col min="22" max="26" width="17" customWidth="1"/>
  </cols>
  <sheetData>
    <row r="1" spans="1:26" ht="45" x14ac:dyDescent="0.25">
      <c r="A1" s="41" t="s">
        <v>1681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 t="s">
        <v>1598</v>
      </c>
      <c r="S1" s="41" t="s">
        <v>1637</v>
      </c>
      <c r="T1" s="41" t="s">
        <v>1638</v>
      </c>
      <c r="U1" s="41" t="s">
        <v>1639</v>
      </c>
      <c r="V1" s="41"/>
      <c r="W1" s="41"/>
      <c r="X1" s="41"/>
      <c r="Y1" s="41"/>
      <c r="Z1" s="41"/>
    </row>
    <row r="2" spans="1:26" ht="75" x14ac:dyDescent="0.25">
      <c r="A2" s="41" t="s">
        <v>1682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 t="s">
        <v>1601</v>
      </c>
      <c r="S2" s="81">
        <v>0.86160000000000003</v>
      </c>
      <c r="T2" s="81">
        <v>0.504</v>
      </c>
      <c r="U2" s="81">
        <v>0.21260000000000001</v>
      </c>
      <c r="V2" s="41"/>
      <c r="W2" s="41"/>
      <c r="X2" s="41"/>
      <c r="Y2" s="41"/>
      <c r="Z2" s="41"/>
    </row>
    <row r="3" spans="1:26" x14ac:dyDescent="0.25">
      <c r="A3" s="41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 t="s">
        <v>1596</v>
      </c>
      <c r="S3" s="81">
        <v>0.1384</v>
      </c>
      <c r="T3" s="81">
        <v>0.496</v>
      </c>
      <c r="U3" s="81">
        <v>0.78739999999999999</v>
      </c>
      <c r="V3" s="41"/>
      <c r="W3" s="41"/>
      <c r="X3" s="41"/>
      <c r="Y3" s="41"/>
      <c r="Z3" s="41"/>
    </row>
    <row r="4" spans="1:26" x14ac:dyDescent="0.25">
      <c r="A4" s="80" t="s">
        <v>1671</v>
      </c>
      <c r="B4" s="80" t="s">
        <v>1622</v>
      </c>
      <c r="C4" s="80" t="s">
        <v>1623</v>
      </c>
      <c r="D4" s="80" t="s">
        <v>1624</v>
      </c>
      <c r="E4" s="80" t="s">
        <v>1625</v>
      </c>
      <c r="F4" s="80" t="s">
        <v>1626</v>
      </c>
      <c r="G4" s="80" t="s">
        <v>1627</v>
      </c>
      <c r="H4" s="80" t="s">
        <v>1628</v>
      </c>
      <c r="I4" s="80" t="s">
        <v>1629</v>
      </c>
      <c r="J4" s="80" t="s">
        <v>1630</v>
      </c>
      <c r="K4" s="80" t="s">
        <v>1631</v>
      </c>
      <c r="L4" s="80" t="s">
        <v>1632</v>
      </c>
      <c r="M4" s="80" t="s">
        <v>1633</v>
      </c>
      <c r="N4" s="80" t="s">
        <v>1634</v>
      </c>
      <c r="O4" s="80" t="s">
        <v>1635</v>
      </c>
      <c r="P4" s="80" t="s">
        <v>1672</v>
      </c>
      <c r="Q4" s="41"/>
      <c r="R4" s="41" t="s">
        <v>1605</v>
      </c>
      <c r="S4" s="81">
        <v>0.1384</v>
      </c>
      <c r="T4" s="81">
        <v>0.496</v>
      </c>
      <c r="U4" s="81">
        <v>0.78739999999999999</v>
      </c>
      <c r="V4" s="41"/>
      <c r="W4" s="41" t="s">
        <v>1683</v>
      </c>
      <c r="X4" s="41" t="s">
        <v>1684</v>
      </c>
      <c r="Y4" s="41" t="s">
        <v>1685</v>
      </c>
      <c r="Z4" s="41" t="s">
        <v>1686</v>
      </c>
    </row>
    <row r="5" spans="1:26" x14ac:dyDescent="0.25">
      <c r="A5" s="41" t="s">
        <v>1555</v>
      </c>
      <c r="B5" s="81">
        <v>0.46339999999999998</v>
      </c>
      <c r="C5" s="81">
        <v>0.53659999999999997</v>
      </c>
      <c r="D5" s="81">
        <v>0.53659999999999997</v>
      </c>
      <c r="E5" s="81">
        <v>0.17879999999999999</v>
      </c>
      <c r="F5" s="81">
        <v>0.76470000000000005</v>
      </c>
      <c r="G5" s="81">
        <v>0.91669999999999996</v>
      </c>
      <c r="H5" s="81">
        <v>0.85650000000000004</v>
      </c>
      <c r="I5" s="81">
        <v>0.89470000000000005</v>
      </c>
      <c r="J5" s="81">
        <v>0.89500000000000002</v>
      </c>
      <c r="K5" s="81">
        <v>0.63829999999999998</v>
      </c>
      <c r="L5" s="81">
        <v>1</v>
      </c>
      <c r="M5" s="81">
        <f t="shared" ref="M5:M44" si="0">SQRT((B5-$S$2)^2+(C5-$S$3)^2+(D5-$S$4)^2+(E5-$S$5)^2+(F5-$S$6)^2+(G5-$S$7)^2+(H5-$S$8)^2+(I5-$S$9)^2+(J5-$S$10)^2+(K5-$S$11)^2+(L5-$S$12)^2)</f>
        <v>1.7470052776108034</v>
      </c>
      <c r="N5" s="81">
        <f t="shared" ref="N5:N44" si="1">SQRT((B5-$T$2)^2+(C5-$T$3)^2+(D5-$T$4)^2+(E5-$T$5)^2+(F5-$T$6)^2+(G5-$T$7)^2+(H5-$T$8)^2+(I5-$T$9)^2+(J5-$T$10)^2+(K5-$T$11)^2+(L5-$T$12)^2)</f>
        <v>0.88345453759658732</v>
      </c>
      <c r="O5" s="81">
        <f t="shared" ref="O5:O44" si="2">SQRT((B5-$U$2)^2+(C5-$U$3)^2+(D5-$U$4)^2+(E5-$U$5)^2+(F5-$U$6)^2+(G5-$U$7)^2+(H5-$U$8)^2+(I5-$U$9)^2+(J5-$U$10)^2+(K5-$U$11)^2+(L5-$U$12)^2)</f>
        <v>0.83867184285631058</v>
      </c>
      <c r="P5" s="41" t="str">
        <f t="shared" ref="P5:P44" si="3">IF(M5=MIN(M5:O5),$R$14,IF(N5=MIN(M5:O5),$R$15,$R$16))</f>
        <v>C3</v>
      </c>
      <c r="Q5" s="41"/>
      <c r="R5" s="41" t="s">
        <v>1597</v>
      </c>
      <c r="S5" s="81">
        <v>0.48320000000000002</v>
      </c>
      <c r="T5" s="81">
        <v>0.3145</v>
      </c>
      <c r="U5" s="81">
        <v>9.7000000000000003E-2</v>
      </c>
      <c r="V5" s="41"/>
      <c r="W5" s="81">
        <v>1.7470052776108029</v>
      </c>
      <c r="X5" s="81">
        <v>0.88345453759658732</v>
      </c>
      <c r="Y5" s="81">
        <v>0.83867184285631058</v>
      </c>
      <c r="Z5" s="41" t="s">
        <v>1639</v>
      </c>
    </row>
    <row r="6" spans="1:26" x14ac:dyDescent="0.25">
      <c r="A6" s="41" t="s">
        <v>1557</v>
      </c>
      <c r="B6" s="81">
        <v>0.30759999999999998</v>
      </c>
      <c r="C6" s="81">
        <v>0.69240000000000002</v>
      </c>
      <c r="D6" s="81">
        <v>0.69240000000000002</v>
      </c>
      <c r="E6" s="81">
        <v>0.15640000000000001</v>
      </c>
      <c r="F6" s="81">
        <v>0.70589999999999997</v>
      </c>
      <c r="G6" s="81">
        <v>0.79169999999999996</v>
      </c>
      <c r="H6" s="81">
        <v>0.70330000000000004</v>
      </c>
      <c r="I6" s="81">
        <v>0.84209999999999996</v>
      </c>
      <c r="J6" s="81">
        <v>1</v>
      </c>
      <c r="K6" s="81">
        <v>0.10639999999999999</v>
      </c>
      <c r="L6" s="81">
        <v>0.13639999999999999</v>
      </c>
      <c r="M6" s="81">
        <f t="shared" si="0"/>
        <v>1.654983072420984</v>
      </c>
      <c r="N6" s="81">
        <f t="shared" si="1"/>
        <v>0.70520644495069662</v>
      </c>
      <c r="O6" s="81">
        <f t="shared" si="2"/>
        <v>0.49781310750119867</v>
      </c>
      <c r="P6" s="41" t="str">
        <f t="shared" si="3"/>
        <v>C3</v>
      </c>
      <c r="Q6" s="41"/>
      <c r="R6" s="41" t="s">
        <v>1539</v>
      </c>
      <c r="S6" s="81">
        <v>0</v>
      </c>
      <c r="T6" s="81">
        <v>0.40410000000000001</v>
      </c>
      <c r="U6" s="81">
        <v>0.72940000000000005</v>
      </c>
      <c r="V6" s="41"/>
      <c r="W6" s="81">
        <v>1.654983072420984</v>
      </c>
      <c r="X6" s="81">
        <v>0.70520644495069673</v>
      </c>
      <c r="Y6" s="81">
        <v>0.49781310750119873</v>
      </c>
      <c r="Z6" s="41" t="s">
        <v>1639</v>
      </c>
    </row>
    <row r="7" spans="1:26" x14ac:dyDescent="0.25">
      <c r="A7" s="41" t="s">
        <v>1558</v>
      </c>
      <c r="B7" s="81">
        <v>0.28560000000000002</v>
      </c>
      <c r="C7" s="81">
        <v>0.71440000000000003</v>
      </c>
      <c r="D7" s="81">
        <v>0.71440000000000003</v>
      </c>
      <c r="E7" s="81">
        <v>0.11550000000000001</v>
      </c>
      <c r="F7" s="81">
        <v>0.70589999999999997</v>
      </c>
      <c r="G7" s="81">
        <v>0.95830000000000004</v>
      </c>
      <c r="H7" s="81">
        <v>0.87080000000000002</v>
      </c>
      <c r="I7" s="81">
        <v>0.78949999999999998</v>
      </c>
      <c r="J7" s="81">
        <v>0.77729999999999999</v>
      </c>
      <c r="K7" s="81">
        <v>0.34039999999999998</v>
      </c>
      <c r="L7" s="81">
        <v>0.2273</v>
      </c>
      <c r="M7" s="81">
        <f t="shared" si="0"/>
        <v>1.7774060340845026</v>
      </c>
      <c r="N7" s="81">
        <f t="shared" si="1"/>
        <v>0.66926360277546848</v>
      </c>
      <c r="O7" s="81">
        <f t="shared" si="2"/>
        <v>0.20834526632491557</v>
      </c>
      <c r="P7" s="41" t="str">
        <f t="shared" si="3"/>
        <v>C3</v>
      </c>
      <c r="Q7" s="41"/>
      <c r="R7" s="41" t="s">
        <v>1609</v>
      </c>
      <c r="S7" s="81">
        <v>0.2291</v>
      </c>
      <c r="T7" s="81">
        <v>0.62680000000000002</v>
      </c>
      <c r="U7" s="81">
        <v>0.8861</v>
      </c>
      <c r="V7" s="41"/>
      <c r="W7" s="81">
        <v>1.777406034084503</v>
      </c>
      <c r="X7" s="81">
        <v>0.66926360277546848</v>
      </c>
      <c r="Y7" s="81">
        <v>0.2083452663249156</v>
      </c>
      <c r="Z7" s="41" t="s">
        <v>1639</v>
      </c>
    </row>
    <row r="8" spans="1:26" x14ac:dyDescent="0.25">
      <c r="A8" s="41" t="s">
        <v>1559</v>
      </c>
      <c r="B8" s="81">
        <v>0.4153</v>
      </c>
      <c r="C8" s="81">
        <v>0.5847</v>
      </c>
      <c r="D8" s="81">
        <v>0.5847</v>
      </c>
      <c r="E8" s="81">
        <v>0.5363</v>
      </c>
      <c r="F8" s="81">
        <v>0.70589999999999997</v>
      </c>
      <c r="G8" s="81">
        <v>0.83330000000000004</v>
      </c>
      <c r="H8" s="81">
        <v>0.78949999999999998</v>
      </c>
      <c r="I8" s="81">
        <v>0.84209999999999996</v>
      </c>
      <c r="J8" s="81">
        <v>0.94120000000000004</v>
      </c>
      <c r="K8" s="81">
        <v>0.27660000000000001</v>
      </c>
      <c r="L8" s="81">
        <v>0.20449999999999999</v>
      </c>
      <c r="M8" s="81">
        <f t="shared" si="0"/>
        <v>1.5514478657048068</v>
      </c>
      <c r="N8" s="81">
        <f t="shared" si="1"/>
        <v>0.56795001540628565</v>
      </c>
      <c r="O8" s="81">
        <f t="shared" si="2"/>
        <v>0.625526082589687</v>
      </c>
      <c r="P8" s="41" t="str">
        <f t="shared" si="3"/>
        <v>C2</v>
      </c>
      <c r="Q8" s="41"/>
      <c r="R8" s="41" t="s">
        <v>1542</v>
      </c>
      <c r="S8" s="81">
        <v>0.2273</v>
      </c>
      <c r="T8" s="81">
        <v>0.68689999999999996</v>
      </c>
      <c r="U8" s="81">
        <v>0.87619999999999998</v>
      </c>
      <c r="V8" s="41"/>
      <c r="W8" s="81">
        <v>1.551447865704807</v>
      </c>
      <c r="X8" s="81">
        <v>0.56795001540628565</v>
      </c>
      <c r="Y8" s="81">
        <v>0.62552608258968712</v>
      </c>
      <c r="Z8" s="41" t="s">
        <v>1638</v>
      </c>
    </row>
    <row r="9" spans="1:26" x14ac:dyDescent="0.25">
      <c r="A9" s="41" t="s">
        <v>1560</v>
      </c>
      <c r="B9" s="81">
        <v>0.75570000000000004</v>
      </c>
      <c r="C9" s="81">
        <v>0.24429999999999999</v>
      </c>
      <c r="D9" s="81">
        <v>0.24429999999999999</v>
      </c>
      <c r="E9" s="81">
        <v>0.27750000000000002</v>
      </c>
      <c r="F9" s="81">
        <v>0.47060000000000002</v>
      </c>
      <c r="G9" s="81">
        <v>0.79169999999999996</v>
      </c>
      <c r="H9" s="81">
        <v>0.6411</v>
      </c>
      <c r="I9" s="81">
        <v>0.57889999999999997</v>
      </c>
      <c r="J9" s="81">
        <v>0.83189999999999997</v>
      </c>
      <c r="K9" s="81">
        <v>0.44679999999999997</v>
      </c>
      <c r="L9" s="81">
        <v>2.2700000000000001E-2</v>
      </c>
      <c r="M9" s="81">
        <f t="shared" si="0"/>
        <v>1.1575525992368554</v>
      </c>
      <c r="N9" s="81">
        <f t="shared" si="1"/>
        <v>0.61341222680999763</v>
      </c>
      <c r="O9" s="81">
        <f t="shared" si="2"/>
        <v>1.1137818727201481</v>
      </c>
      <c r="P9" s="41" t="str">
        <f t="shared" si="3"/>
        <v>C2</v>
      </c>
      <c r="Q9" s="41"/>
      <c r="R9" s="41" t="s">
        <v>1543</v>
      </c>
      <c r="S9" s="81">
        <v>0.13159999999999999</v>
      </c>
      <c r="T9" s="81">
        <v>0.73219999999999996</v>
      </c>
      <c r="U9" s="81">
        <v>0.85260000000000002</v>
      </c>
      <c r="V9" s="41"/>
      <c r="W9" s="81">
        <v>1.1575525992368549</v>
      </c>
      <c r="X9" s="81">
        <v>0.61341222680999763</v>
      </c>
      <c r="Y9" s="81">
        <v>1.1137818727201481</v>
      </c>
      <c r="Z9" s="41" t="s">
        <v>1638</v>
      </c>
    </row>
    <row r="10" spans="1:26" ht="30" x14ac:dyDescent="0.25">
      <c r="A10" s="41" t="s">
        <v>1561</v>
      </c>
      <c r="B10" s="81">
        <v>0.17730000000000001</v>
      </c>
      <c r="C10" s="81">
        <v>0.82269999999999999</v>
      </c>
      <c r="D10" s="81">
        <v>0.82269999999999999</v>
      </c>
      <c r="E10" s="81">
        <v>0.11550000000000001</v>
      </c>
      <c r="F10" s="81">
        <v>0.64710000000000001</v>
      </c>
      <c r="G10" s="81">
        <v>0.91669999999999996</v>
      </c>
      <c r="H10" s="81">
        <v>0.82299999999999995</v>
      </c>
      <c r="I10" s="81">
        <v>0.89470000000000005</v>
      </c>
      <c r="J10" s="81">
        <v>0.77310000000000001</v>
      </c>
      <c r="K10" s="81">
        <v>0.46810000000000002</v>
      </c>
      <c r="L10" s="81">
        <v>9.0899999999999995E-2</v>
      </c>
      <c r="M10" s="81">
        <f t="shared" si="0"/>
        <v>1.9200402261411087</v>
      </c>
      <c r="N10" s="81">
        <f t="shared" si="1"/>
        <v>0.79117195981657495</v>
      </c>
      <c r="O10" s="81">
        <f t="shared" si="2"/>
        <v>0.30310405803947926</v>
      </c>
      <c r="P10" s="41" t="str">
        <f t="shared" si="3"/>
        <v>C3</v>
      </c>
      <c r="Q10" s="41"/>
      <c r="R10" s="41" t="s">
        <v>1547</v>
      </c>
      <c r="S10" s="81">
        <v>0.93489999999999995</v>
      </c>
      <c r="T10" s="81">
        <v>0.7198</v>
      </c>
      <c r="U10" s="81">
        <v>0.76390000000000002</v>
      </c>
      <c r="V10" s="41"/>
      <c r="W10" s="81">
        <v>1.9200402261411089</v>
      </c>
      <c r="X10" s="81">
        <v>0.79117195981657484</v>
      </c>
      <c r="Y10" s="81">
        <v>0.30310405803947932</v>
      </c>
      <c r="Z10" s="41" t="s">
        <v>1639</v>
      </c>
    </row>
    <row r="11" spans="1:26" x14ac:dyDescent="0.25">
      <c r="A11" s="41" t="s">
        <v>1562</v>
      </c>
      <c r="B11" s="81">
        <v>0.51900000000000002</v>
      </c>
      <c r="C11" s="81">
        <v>0.48099999999999998</v>
      </c>
      <c r="D11" s="81">
        <v>0.48099999999999998</v>
      </c>
      <c r="E11" s="81">
        <v>0.21229999999999999</v>
      </c>
      <c r="F11" s="81">
        <v>0.35289999999999999</v>
      </c>
      <c r="G11" s="81">
        <v>0.625</v>
      </c>
      <c r="H11" s="81">
        <v>0.622</v>
      </c>
      <c r="I11" s="81">
        <v>0.73680000000000001</v>
      </c>
      <c r="J11" s="81">
        <v>0.4748</v>
      </c>
      <c r="K11" s="81">
        <v>0.51060000000000005</v>
      </c>
      <c r="L11" s="81">
        <v>0.25</v>
      </c>
      <c r="M11" s="81">
        <f t="shared" si="0"/>
        <v>1.282387410262593</v>
      </c>
      <c r="N11" s="81">
        <f t="shared" si="1"/>
        <v>0.31434603544501721</v>
      </c>
      <c r="O11" s="81">
        <f t="shared" si="2"/>
        <v>0.83271349814927342</v>
      </c>
      <c r="P11" s="41" t="str">
        <f t="shared" si="3"/>
        <v>C2</v>
      </c>
      <c r="Q11" s="41"/>
      <c r="R11" s="41" t="s">
        <v>1611</v>
      </c>
      <c r="S11" s="81">
        <v>0.1595</v>
      </c>
      <c r="T11" s="81">
        <v>0.41810000000000003</v>
      </c>
      <c r="U11" s="81">
        <v>0.38159999999999999</v>
      </c>
      <c r="V11" s="41"/>
      <c r="W11" s="81">
        <v>1.282387410262593</v>
      </c>
      <c r="X11" s="81">
        <v>0.31434603544501721</v>
      </c>
      <c r="Y11" s="81">
        <v>0.83271349814927353</v>
      </c>
      <c r="Z11" s="41" t="s">
        <v>1638</v>
      </c>
    </row>
    <row r="12" spans="1:26" x14ac:dyDescent="0.25">
      <c r="A12" s="41" t="s">
        <v>1563</v>
      </c>
      <c r="B12" s="81">
        <v>0.1618</v>
      </c>
      <c r="C12" s="81">
        <v>0.83819999999999995</v>
      </c>
      <c r="D12" s="81">
        <v>0.83819999999999995</v>
      </c>
      <c r="E12" s="81">
        <v>8.3799999999999999E-2</v>
      </c>
      <c r="F12" s="81">
        <v>0.70589999999999997</v>
      </c>
      <c r="G12" s="81">
        <v>1</v>
      </c>
      <c r="H12" s="81">
        <v>0.93300000000000005</v>
      </c>
      <c r="I12" s="81">
        <v>0.78949999999999998</v>
      </c>
      <c r="J12" s="81">
        <v>0.57979999999999998</v>
      </c>
      <c r="K12" s="81">
        <v>0.23400000000000001</v>
      </c>
      <c r="L12" s="81">
        <v>0.13639999999999999</v>
      </c>
      <c r="M12" s="81">
        <f t="shared" si="0"/>
        <v>1.9854265410737311</v>
      </c>
      <c r="N12" s="81">
        <f t="shared" si="1"/>
        <v>0.89584501449748544</v>
      </c>
      <c r="O12" s="81">
        <f t="shared" si="2"/>
        <v>0.36138075488326715</v>
      </c>
      <c r="P12" s="41" t="str">
        <f t="shared" si="3"/>
        <v>C3</v>
      </c>
      <c r="Q12" s="41"/>
      <c r="R12" s="41" t="s">
        <v>1613</v>
      </c>
      <c r="S12" s="81">
        <v>0.53410000000000002</v>
      </c>
      <c r="T12" s="81">
        <v>0.36070000000000002</v>
      </c>
      <c r="U12" s="81">
        <v>0.35149999999999998</v>
      </c>
      <c r="V12" s="41"/>
      <c r="W12" s="81">
        <v>1.9854265410737311</v>
      </c>
      <c r="X12" s="81">
        <v>0.89584501449748544</v>
      </c>
      <c r="Y12" s="81">
        <v>0.36138075488326721</v>
      </c>
      <c r="Z12" s="41" t="s">
        <v>1639</v>
      </c>
    </row>
    <row r="13" spans="1:26" x14ac:dyDescent="0.25">
      <c r="A13" s="41" t="s">
        <v>1564</v>
      </c>
      <c r="B13" s="81">
        <v>0.2944</v>
      </c>
      <c r="C13" s="81">
        <v>0.7056</v>
      </c>
      <c r="D13" s="81">
        <v>0.7056</v>
      </c>
      <c r="E13" s="81">
        <v>0.14149999999999999</v>
      </c>
      <c r="F13" s="81">
        <v>0.47060000000000002</v>
      </c>
      <c r="G13" s="81">
        <v>0.66669999999999996</v>
      </c>
      <c r="H13" s="81">
        <v>0.71289999999999998</v>
      </c>
      <c r="I13" s="81">
        <v>0.68420000000000003</v>
      </c>
      <c r="J13" s="81">
        <v>0.77310000000000001</v>
      </c>
      <c r="K13" s="81">
        <v>0.34039999999999998</v>
      </c>
      <c r="L13" s="81">
        <v>0</v>
      </c>
      <c r="M13" s="81">
        <f t="shared" si="0"/>
        <v>1.5427914667899871</v>
      </c>
      <c r="N13" s="81">
        <f t="shared" si="1"/>
        <v>0.55650912840671363</v>
      </c>
      <c r="O13" s="81">
        <f t="shared" si="2"/>
        <v>0.56349582962077016</v>
      </c>
      <c r="P13" s="41" t="str">
        <f t="shared" si="3"/>
        <v>C2</v>
      </c>
      <c r="Q13" s="41"/>
      <c r="R13" s="41"/>
      <c r="S13" s="41"/>
      <c r="T13" s="41"/>
      <c r="U13" s="41"/>
      <c r="V13" s="41"/>
      <c r="W13" s="81">
        <v>1.5427914667899869</v>
      </c>
      <c r="X13" s="81">
        <v>0.55650912840671363</v>
      </c>
      <c r="Y13" s="81">
        <v>0.56349582962077016</v>
      </c>
      <c r="Z13" s="41" t="s">
        <v>1638</v>
      </c>
    </row>
    <row r="14" spans="1:26" x14ac:dyDescent="0.25">
      <c r="A14" s="41" t="s">
        <v>1565</v>
      </c>
      <c r="B14" s="81">
        <v>0.41549999999999998</v>
      </c>
      <c r="C14" s="81">
        <v>0.58450000000000002</v>
      </c>
      <c r="D14" s="81">
        <v>0.58450000000000002</v>
      </c>
      <c r="E14" s="81">
        <v>0.19370000000000001</v>
      </c>
      <c r="F14" s="81">
        <v>0.17649999999999999</v>
      </c>
      <c r="G14" s="81">
        <v>0.83330000000000004</v>
      </c>
      <c r="H14" s="81">
        <v>0.76559999999999995</v>
      </c>
      <c r="I14" s="81">
        <v>0.84209999999999996</v>
      </c>
      <c r="J14" s="81">
        <v>0.93279999999999996</v>
      </c>
      <c r="K14" s="81">
        <v>0</v>
      </c>
      <c r="L14" s="81">
        <v>6.8199999999999997E-2</v>
      </c>
      <c r="M14" s="81">
        <f t="shared" si="0"/>
        <v>1.454001506189041</v>
      </c>
      <c r="N14" s="81">
        <f t="shared" si="1"/>
        <v>0.67567592823779066</v>
      </c>
      <c r="O14" s="81">
        <f t="shared" si="2"/>
        <v>0.84148062366283871</v>
      </c>
      <c r="P14" s="41" t="str">
        <f t="shared" si="3"/>
        <v>C2</v>
      </c>
      <c r="Q14" s="41"/>
      <c r="R14" s="41" t="s">
        <v>1637</v>
      </c>
      <c r="S14" s="41"/>
      <c r="T14" s="41"/>
      <c r="U14" s="41"/>
      <c r="V14" s="41"/>
      <c r="W14" s="81">
        <v>1.454001506189041</v>
      </c>
      <c r="X14" s="81">
        <v>0.67567592823779066</v>
      </c>
      <c r="Y14" s="81">
        <v>0.84148062366283871</v>
      </c>
      <c r="Z14" s="41" t="s">
        <v>1638</v>
      </c>
    </row>
    <row r="15" spans="1:26" x14ac:dyDescent="0.25">
      <c r="A15" s="41" t="s">
        <v>1566</v>
      </c>
      <c r="B15" s="81">
        <v>0.16120000000000001</v>
      </c>
      <c r="C15" s="81">
        <v>0.83879999999999999</v>
      </c>
      <c r="D15" s="81">
        <v>0.83879999999999999</v>
      </c>
      <c r="E15" s="81">
        <v>4.8399999999999999E-2</v>
      </c>
      <c r="F15" s="81">
        <v>0.82350000000000001</v>
      </c>
      <c r="G15" s="81">
        <v>0.95830000000000004</v>
      </c>
      <c r="H15" s="81">
        <v>0.98089999999999999</v>
      </c>
      <c r="I15" s="81">
        <v>0.89470000000000005</v>
      </c>
      <c r="J15" s="81">
        <v>0.77729999999999999</v>
      </c>
      <c r="K15" s="81">
        <v>0.23400000000000001</v>
      </c>
      <c r="L15" s="81">
        <v>0.93179999999999996</v>
      </c>
      <c r="M15" s="81">
        <f t="shared" si="0"/>
        <v>2.051683279651126</v>
      </c>
      <c r="N15" s="81">
        <f t="shared" si="1"/>
        <v>1.0887285520275474</v>
      </c>
      <c r="O15" s="81">
        <f t="shared" si="2"/>
        <v>0.62912908055501615</v>
      </c>
      <c r="P15" s="41" t="str">
        <f t="shared" si="3"/>
        <v>C3</v>
      </c>
      <c r="Q15" s="41"/>
      <c r="R15" s="41" t="s">
        <v>1638</v>
      </c>
      <c r="S15" s="41"/>
      <c r="T15" s="41"/>
      <c r="U15" s="41"/>
      <c r="V15" s="41"/>
      <c r="W15" s="81">
        <v>2.051683279651126</v>
      </c>
      <c r="X15" s="81">
        <v>1.0887285520275469</v>
      </c>
      <c r="Y15" s="81">
        <v>0.62912908055501615</v>
      </c>
      <c r="Z15" s="41" t="s">
        <v>1639</v>
      </c>
    </row>
    <row r="16" spans="1:26" x14ac:dyDescent="0.25">
      <c r="A16" s="41" t="s">
        <v>1567</v>
      </c>
      <c r="B16" s="81">
        <v>0.58850000000000002</v>
      </c>
      <c r="C16" s="81">
        <v>0.41149999999999998</v>
      </c>
      <c r="D16" s="81">
        <v>0.41149999999999998</v>
      </c>
      <c r="E16" s="81">
        <v>0.21970000000000001</v>
      </c>
      <c r="F16" s="81">
        <v>0.4118</v>
      </c>
      <c r="G16" s="81">
        <v>0.625</v>
      </c>
      <c r="H16" s="81">
        <v>0.79430000000000001</v>
      </c>
      <c r="I16" s="81">
        <v>0.89470000000000005</v>
      </c>
      <c r="J16" s="81">
        <v>0.91180000000000005</v>
      </c>
      <c r="K16" s="81">
        <v>0.2979</v>
      </c>
      <c r="L16" s="81">
        <v>0.56820000000000004</v>
      </c>
      <c r="M16" s="81">
        <f t="shared" si="0"/>
        <v>1.2426426356760822</v>
      </c>
      <c r="N16" s="81">
        <f t="shared" si="1"/>
        <v>0.40345956426883733</v>
      </c>
      <c r="O16" s="81">
        <f t="shared" si="2"/>
        <v>0.83205751003160833</v>
      </c>
      <c r="P16" s="41" t="str">
        <f t="shared" si="3"/>
        <v>C2</v>
      </c>
      <c r="Q16" s="41"/>
      <c r="R16" s="41" t="s">
        <v>1639</v>
      </c>
      <c r="S16" s="41"/>
      <c r="T16" s="41"/>
      <c r="U16" s="41"/>
      <c r="V16" s="41"/>
      <c r="W16" s="81">
        <v>1.242642635676082</v>
      </c>
      <c r="X16" s="81">
        <v>0.40345956426883728</v>
      </c>
      <c r="Y16" s="81">
        <v>0.83205751003160844</v>
      </c>
      <c r="Z16" s="41" t="s">
        <v>1638</v>
      </c>
    </row>
    <row r="17" spans="1:26" x14ac:dyDescent="0.25">
      <c r="A17" s="41" t="s">
        <v>1568</v>
      </c>
      <c r="B17" s="81">
        <v>0.36259999999999998</v>
      </c>
      <c r="C17" s="81">
        <v>0.63739999999999997</v>
      </c>
      <c r="D17" s="81">
        <v>0.63739999999999997</v>
      </c>
      <c r="E17" s="81">
        <v>0.12479999999999999</v>
      </c>
      <c r="F17" s="81">
        <v>0.52939999999999998</v>
      </c>
      <c r="G17" s="81">
        <v>0.41670000000000001</v>
      </c>
      <c r="H17" s="81">
        <v>0.68420000000000003</v>
      </c>
      <c r="I17" s="81">
        <v>0.68420000000000003</v>
      </c>
      <c r="J17" s="81">
        <v>0.85289999999999999</v>
      </c>
      <c r="K17" s="81">
        <v>0.12770000000000001</v>
      </c>
      <c r="L17" s="81">
        <v>0.4773</v>
      </c>
      <c r="M17" s="81">
        <f t="shared" si="0"/>
        <v>1.3099608887291254</v>
      </c>
      <c r="N17" s="81">
        <f t="shared" si="1"/>
        <v>0.52322527653010031</v>
      </c>
      <c r="O17" s="81">
        <f t="shared" si="2"/>
        <v>0.69429360504040372</v>
      </c>
      <c r="P17" s="41" t="str">
        <f t="shared" si="3"/>
        <v>C2</v>
      </c>
      <c r="Q17" s="41"/>
      <c r="R17" s="41"/>
      <c r="S17" s="41"/>
      <c r="T17" s="41"/>
      <c r="U17" s="41"/>
      <c r="V17" s="41"/>
      <c r="W17" s="81">
        <v>1.309960888729125</v>
      </c>
      <c r="X17" s="81">
        <v>0.52322527653010031</v>
      </c>
      <c r="Y17" s="81">
        <v>0.69429360504040361</v>
      </c>
      <c r="Z17" s="41" t="s">
        <v>1638</v>
      </c>
    </row>
    <row r="18" spans="1:26" x14ac:dyDescent="0.25">
      <c r="A18" s="41" t="s">
        <v>1569</v>
      </c>
      <c r="B18" s="81">
        <v>0.45629999999999998</v>
      </c>
      <c r="C18" s="81">
        <v>0.54369999999999996</v>
      </c>
      <c r="D18" s="81">
        <v>0.54369999999999996</v>
      </c>
      <c r="E18" s="81">
        <v>0.2626</v>
      </c>
      <c r="F18" s="81">
        <v>0.23530000000000001</v>
      </c>
      <c r="G18" s="81">
        <v>0.45829999999999999</v>
      </c>
      <c r="H18" s="81">
        <v>0.58850000000000002</v>
      </c>
      <c r="I18" s="81">
        <v>0.57889999999999997</v>
      </c>
      <c r="J18" s="81">
        <v>0.72689999999999999</v>
      </c>
      <c r="K18" s="81">
        <v>0.38300000000000001</v>
      </c>
      <c r="L18" s="81">
        <v>0.43180000000000002</v>
      </c>
      <c r="M18" s="81">
        <f t="shared" si="0"/>
        <v>1.0409570740429215</v>
      </c>
      <c r="N18" s="81">
        <f t="shared" si="1"/>
        <v>0.32546313155256157</v>
      </c>
      <c r="O18" s="81">
        <f t="shared" si="2"/>
        <v>0.89344396019000538</v>
      </c>
      <c r="P18" s="41" t="str">
        <f t="shared" si="3"/>
        <v>C2</v>
      </c>
      <c r="Q18" s="41"/>
      <c r="R18" s="41"/>
      <c r="S18" s="41"/>
      <c r="T18" s="41"/>
      <c r="U18" s="41"/>
      <c r="V18" s="41"/>
      <c r="W18" s="81">
        <v>1.040957074042921</v>
      </c>
      <c r="X18" s="81">
        <v>0.32546313155256162</v>
      </c>
      <c r="Y18" s="81">
        <v>0.89344396019000549</v>
      </c>
      <c r="Z18" s="41" t="s">
        <v>1638</v>
      </c>
    </row>
    <row r="19" spans="1:26" x14ac:dyDescent="0.25">
      <c r="A19" s="41" t="s">
        <v>1570</v>
      </c>
      <c r="B19" s="81">
        <v>1</v>
      </c>
      <c r="C19" s="81">
        <v>0</v>
      </c>
      <c r="D19" s="81">
        <v>0</v>
      </c>
      <c r="E19" s="81">
        <v>0.59219999999999995</v>
      </c>
      <c r="F19" s="81">
        <v>0</v>
      </c>
      <c r="G19" s="81">
        <v>0</v>
      </c>
      <c r="H19" s="81">
        <v>0</v>
      </c>
      <c r="I19" s="81">
        <v>0</v>
      </c>
      <c r="J19" s="81">
        <v>0.9748</v>
      </c>
      <c r="K19" s="81">
        <v>0.23400000000000001</v>
      </c>
      <c r="L19" s="81">
        <v>0.45450000000000002</v>
      </c>
      <c r="M19" s="81">
        <f t="shared" si="0"/>
        <v>0.45198867242443147</v>
      </c>
      <c r="N19" s="81">
        <f t="shared" si="1"/>
        <v>1.5770241088835644</v>
      </c>
      <c r="O19" s="81">
        <f t="shared" si="2"/>
        <v>2.234713328371225</v>
      </c>
      <c r="P19" s="41" t="str">
        <f t="shared" si="3"/>
        <v>C1</v>
      </c>
      <c r="Q19" s="41"/>
      <c r="R19" s="41"/>
      <c r="S19" s="41"/>
      <c r="T19" s="41"/>
      <c r="U19" s="41"/>
      <c r="V19" s="41"/>
      <c r="W19" s="81">
        <v>0.45198867242443141</v>
      </c>
      <c r="X19" s="81">
        <v>1.5770241088835639</v>
      </c>
      <c r="Y19" s="81">
        <v>2.234713328371225</v>
      </c>
      <c r="Z19" s="41" t="s">
        <v>1637</v>
      </c>
    </row>
    <row r="20" spans="1:26" x14ac:dyDescent="0.25">
      <c r="A20" s="41" t="s">
        <v>1571</v>
      </c>
      <c r="B20" s="81">
        <v>0.32350000000000001</v>
      </c>
      <c r="C20" s="81">
        <v>0.67649999999999999</v>
      </c>
      <c r="D20" s="81">
        <v>0.67649999999999999</v>
      </c>
      <c r="E20" s="81">
        <v>1</v>
      </c>
      <c r="F20" s="81">
        <v>0.29409999999999997</v>
      </c>
      <c r="G20" s="81">
        <v>0.33329999999999999</v>
      </c>
      <c r="H20" s="81">
        <v>0.60770000000000002</v>
      </c>
      <c r="I20" s="81">
        <v>0.84209999999999996</v>
      </c>
      <c r="J20" s="81">
        <v>0.82350000000000001</v>
      </c>
      <c r="K20" s="81">
        <v>0.2979</v>
      </c>
      <c r="L20" s="81">
        <v>0.52270000000000005</v>
      </c>
      <c r="M20" s="81">
        <f t="shared" si="0"/>
        <v>1.3835817323165265</v>
      </c>
      <c r="N20" s="81">
        <f t="shared" si="1"/>
        <v>0.85772351605864217</v>
      </c>
      <c r="O20" s="81">
        <f t="shared" si="2"/>
        <v>1.2080766325030876</v>
      </c>
      <c r="P20" s="41" t="str">
        <f t="shared" si="3"/>
        <v>C2</v>
      </c>
      <c r="Q20" s="41"/>
      <c r="R20" s="41"/>
      <c r="S20" s="41"/>
      <c r="T20" s="41"/>
      <c r="U20" s="41"/>
      <c r="V20" s="41"/>
      <c r="W20" s="81">
        <v>1.383581732316526</v>
      </c>
      <c r="X20" s="81">
        <v>0.85772351605864228</v>
      </c>
      <c r="Y20" s="81">
        <v>1.2080766325030881</v>
      </c>
      <c r="Z20" s="41" t="s">
        <v>1638</v>
      </c>
    </row>
    <row r="21" spans="1:26" x14ac:dyDescent="0.25">
      <c r="A21" s="41" t="s">
        <v>1572</v>
      </c>
      <c r="B21" s="81">
        <v>0.60099999999999998</v>
      </c>
      <c r="C21" s="81">
        <v>0.39900000000000002</v>
      </c>
      <c r="D21" s="81">
        <v>0.39900000000000002</v>
      </c>
      <c r="E21" s="81">
        <v>0.28310000000000002</v>
      </c>
      <c r="F21" s="81">
        <v>0.4118</v>
      </c>
      <c r="G21" s="81">
        <v>0.58330000000000004</v>
      </c>
      <c r="H21" s="81">
        <v>0.68899999999999995</v>
      </c>
      <c r="I21" s="81">
        <v>0.78949999999999998</v>
      </c>
      <c r="J21" s="81">
        <v>0.92859999999999998</v>
      </c>
      <c r="K21" s="81">
        <v>0.44679999999999997</v>
      </c>
      <c r="L21" s="81">
        <v>0.43180000000000002</v>
      </c>
      <c r="M21" s="81">
        <f t="shared" si="0"/>
        <v>1.1304244954883098</v>
      </c>
      <c r="N21" s="81">
        <f t="shared" si="1"/>
        <v>0.28970422848139443</v>
      </c>
      <c r="O21" s="81">
        <f t="shared" si="2"/>
        <v>0.86983053521936093</v>
      </c>
      <c r="P21" s="41" t="str">
        <f t="shared" si="3"/>
        <v>C2</v>
      </c>
      <c r="Q21" s="41"/>
      <c r="R21" s="41"/>
      <c r="S21" s="41"/>
      <c r="T21" s="41"/>
      <c r="U21" s="41"/>
      <c r="V21" s="41"/>
      <c r="W21" s="81">
        <v>1.13042449548831</v>
      </c>
      <c r="X21" s="81">
        <v>0.28970422848139438</v>
      </c>
      <c r="Y21" s="81">
        <v>0.86983053521936093</v>
      </c>
      <c r="Z21" s="41" t="s">
        <v>1638</v>
      </c>
    </row>
    <row r="22" spans="1:26" x14ac:dyDescent="0.25">
      <c r="A22" s="41" t="s">
        <v>1573</v>
      </c>
      <c r="B22" s="81">
        <v>0.72309999999999997</v>
      </c>
      <c r="C22" s="81">
        <v>0.27689999999999998</v>
      </c>
      <c r="D22" s="81">
        <v>0.27689999999999998</v>
      </c>
      <c r="E22" s="81">
        <v>0.37430000000000002</v>
      </c>
      <c r="F22" s="81">
        <v>0</v>
      </c>
      <c r="G22" s="81">
        <v>0.45829999999999999</v>
      </c>
      <c r="H22" s="81">
        <v>0.45450000000000002</v>
      </c>
      <c r="I22" s="81">
        <v>0.26319999999999999</v>
      </c>
      <c r="J22" s="81">
        <v>0.89500000000000002</v>
      </c>
      <c r="K22" s="81">
        <v>8.5099999999999995E-2</v>
      </c>
      <c r="L22" s="81">
        <v>0.61360000000000003</v>
      </c>
      <c r="M22" s="81">
        <f t="shared" si="0"/>
        <v>0.45202280915900694</v>
      </c>
      <c r="N22" s="81">
        <f t="shared" si="1"/>
        <v>0.90487167045940819</v>
      </c>
      <c r="O22" s="81">
        <f t="shared" si="2"/>
        <v>1.5075749931595444</v>
      </c>
      <c r="P22" s="41" t="str">
        <f t="shared" si="3"/>
        <v>C1</v>
      </c>
      <c r="Q22" s="41"/>
      <c r="R22" s="41"/>
      <c r="S22" s="41"/>
      <c r="T22" s="41"/>
      <c r="U22" s="41"/>
      <c r="V22" s="41"/>
      <c r="W22" s="81">
        <v>0.45202280915900689</v>
      </c>
      <c r="X22" s="81">
        <v>0.90487167045940831</v>
      </c>
      <c r="Y22" s="81">
        <v>1.5075749931595439</v>
      </c>
      <c r="Z22" s="41" t="s">
        <v>1637</v>
      </c>
    </row>
    <row r="23" spans="1:26" x14ac:dyDescent="0.25">
      <c r="A23" s="41" t="s">
        <v>1574</v>
      </c>
      <c r="B23" s="81">
        <v>0.59350000000000003</v>
      </c>
      <c r="C23" s="81">
        <v>0.40649999999999997</v>
      </c>
      <c r="D23" s="81">
        <v>0.40649999999999997</v>
      </c>
      <c r="E23" s="81">
        <v>0.22720000000000001</v>
      </c>
      <c r="F23" s="81">
        <v>0.29409999999999997</v>
      </c>
      <c r="G23" s="81">
        <v>0.45829999999999999</v>
      </c>
      <c r="H23" s="81">
        <v>0.65069999999999995</v>
      </c>
      <c r="I23" s="81">
        <v>0.52629999999999999</v>
      </c>
      <c r="J23" s="81">
        <v>0.5504</v>
      </c>
      <c r="K23" s="81">
        <v>0.59570000000000001</v>
      </c>
      <c r="L23" s="81">
        <v>0.54549999999999998</v>
      </c>
      <c r="M23" s="81">
        <f t="shared" si="0"/>
        <v>1.0457019556259806</v>
      </c>
      <c r="N23" s="81">
        <f t="shared" si="1"/>
        <v>0.45851793858037876</v>
      </c>
      <c r="O23" s="81">
        <f t="shared" si="2"/>
        <v>1.0540798831208193</v>
      </c>
      <c r="P23" s="41" t="str">
        <f t="shared" si="3"/>
        <v>C2</v>
      </c>
      <c r="Q23" s="41"/>
      <c r="R23" s="41"/>
      <c r="S23" s="41"/>
      <c r="T23" s="41"/>
      <c r="U23" s="41"/>
      <c r="V23" s="41"/>
      <c r="W23" s="81">
        <v>1.0457019556259799</v>
      </c>
      <c r="X23" s="81">
        <v>0.45851793858037881</v>
      </c>
      <c r="Y23" s="81">
        <v>1.0540798831208189</v>
      </c>
      <c r="Z23" s="41" t="s">
        <v>1638</v>
      </c>
    </row>
    <row r="24" spans="1:26" x14ac:dyDescent="0.25">
      <c r="A24" s="41" t="s">
        <v>1575</v>
      </c>
      <c r="B24" s="81">
        <v>0.2152</v>
      </c>
      <c r="C24" s="81">
        <v>0.78480000000000005</v>
      </c>
      <c r="D24" s="81">
        <v>0.78480000000000005</v>
      </c>
      <c r="E24" s="81">
        <v>0.18060000000000001</v>
      </c>
      <c r="F24" s="81">
        <v>0.47060000000000002</v>
      </c>
      <c r="G24" s="81">
        <v>0.54169999999999996</v>
      </c>
      <c r="H24" s="81">
        <v>0.53590000000000004</v>
      </c>
      <c r="I24" s="81">
        <v>0.52629999999999999</v>
      </c>
      <c r="J24" s="81">
        <v>0</v>
      </c>
      <c r="K24" s="81">
        <v>0.42549999999999999</v>
      </c>
      <c r="L24" s="81">
        <v>0.4773</v>
      </c>
      <c r="M24" s="81">
        <f t="shared" si="0"/>
        <v>1.6921261950575672</v>
      </c>
      <c r="N24" s="81">
        <f t="shared" si="1"/>
        <v>0.93635888418917668</v>
      </c>
      <c r="O24" s="81">
        <f t="shared" si="2"/>
        <v>1.0080525184731202</v>
      </c>
      <c r="P24" s="41" t="str">
        <f t="shared" si="3"/>
        <v>C2</v>
      </c>
      <c r="Q24" s="41"/>
      <c r="R24" s="41"/>
      <c r="S24" s="41"/>
      <c r="T24" s="41"/>
      <c r="U24" s="41"/>
      <c r="V24" s="41"/>
      <c r="W24" s="81">
        <v>1.692126195057567</v>
      </c>
      <c r="X24" s="81">
        <v>0.93635888418917668</v>
      </c>
      <c r="Y24" s="81">
        <v>1.0080525184731199</v>
      </c>
      <c r="Z24" s="41" t="s">
        <v>1638</v>
      </c>
    </row>
    <row r="25" spans="1:26" x14ac:dyDescent="0.25">
      <c r="A25" s="41" t="s">
        <v>1576</v>
      </c>
      <c r="B25" s="81">
        <v>0.48170000000000002</v>
      </c>
      <c r="C25" s="81">
        <v>0.51829999999999998</v>
      </c>
      <c r="D25" s="81">
        <v>0.51829999999999998</v>
      </c>
      <c r="E25" s="81">
        <v>0.29609999999999997</v>
      </c>
      <c r="F25" s="81">
        <v>0.35289999999999999</v>
      </c>
      <c r="G25" s="81">
        <v>0.375</v>
      </c>
      <c r="H25" s="81">
        <v>0.57889999999999997</v>
      </c>
      <c r="I25" s="81">
        <v>0.68420000000000003</v>
      </c>
      <c r="J25" s="81">
        <v>0.83189999999999997</v>
      </c>
      <c r="K25" s="81">
        <v>1</v>
      </c>
      <c r="L25" s="81">
        <v>0.54549999999999998</v>
      </c>
      <c r="M25" s="81">
        <f t="shared" si="0"/>
        <v>1.3266394348126396</v>
      </c>
      <c r="N25" s="81">
        <f t="shared" si="1"/>
        <v>0.68348238455720267</v>
      </c>
      <c r="O25" s="81">
        <f t="shared" si="2"/>
        <v>1.0960315278312025</v>
      </c>
      <c r="P25" s="41" t="str">
        <f t="shared" si="3"/>
        <v>C2</v>
      </c>
      <c r="Q25" s="41"/>
      <c r="R25" s="41"/>
      <c r="S25" s="41"/>
      <c r="T25" s="41"/>
      <c r="U25" s="41"/>
      <c r="V25" s="41"/>
      <c r="W25" s="81">
        <v>1.32663943481264</v>
      </c>
      <c r="X25" s="81">
        <v>0.68348238455720267</v>
      </c>
      <c r="Y25" s="81">
        <v>1.0960315278312029</v>
      </c>
      <c r="Z25" s="41" t="s">
        <v>1638</v>
      </c>
    </row>
    <row r="26" spans="1:26" x14ac:dyDescent="0.25">
      <c r="A26" s="41" t="s">
        <v>1577</v>
      </c>
      <c r="B26" s="81">
        <v>0.52910000000000001</v>
      </c>
      <c r="C26" s="81">
        <v>0.47089999999999999</v>
      </c>
      <c r="D26" s="81">
        <v>0.47089999999999999</v>
      </c>
      <c r="E26" s="81">
        <v>0.21970000000000001</v>
      </c>
      <c r="F26" s="81">
        <v>0.47060000000000002</v>
      </c>
      <c r="G26" s="81">
        <v>0.83330000000000004</v>
      </c>
      <c r="H26" s="81">
        <v>0.92820000000000003</v>
      </c>
      <c r="I26" s="81">
        <v>0.89470000000000005</v>
      </c>
      <c r="J26" s="81">
        <v>0.65129999999999999</v>
      </c>
      <c r="K26" s="81">
        <v>0.78720000000000001</v>
      </c>
      <c r="L26" s="81">
        <v>0.59089999999999998</v>
      </c>
      <c r="M26" s="81">
        <f t="shared" si="0"/>
        <v>1.593382537245843</v>
      </c>
      <c r="N26" s="81">
        <f t="shared" si="1"/>
        <v>0.58007983071298042</v>
      </c>
      <c r="O26" s="81">
        <f t="shared" si="2"/>
        <v>0.79013682992251411</v>
      </c>
      <c r="P26" s="41" t="str">
        <f t="shared" si="3"/>
        <v>C2</v>
      </c>
      <c r="Q26" s="41"/>
      <c r="R26" s="41"/>
      <c r="S26" s="41"/>
      <c r="T26" s="41"/>
      <c r="U26" s="41"/>
      <c r="V26" s="41"/>
      <c r="W26" s="81">
        <v>1.593382537245843</v>
      </c>
      <c r="X26" s="81">
        <v>0.58007983071298042</v>
      </c>
      <c r="Y26" s="81">
        <v>0.79013682992251411</v>
      </c>
      <c r="Z26" s="41" t="s">
        <v>1638</v>
      </c>
    </row>
    <row r="27" spans="1:26" x14ac:dyDescent="0.25">
      <c r="A27" s="41" t="s">
        <v>1578</v>
      </c>
      <c r="B27" s="81">
        <v>0.47339999999999999</v>
      </c>
      <c r="C27" s="81">
        <v>0.52659999999999996</v>
      </c>
      <c r="D27" s="81">
        <v>0.52659999999999996</v>
      </c>
      <c r="E27" s="81">
        <v>0.19550000000000001</v>
      </c>
      <c r="F27" s="81">
        <v>0.47060000000000002</v>
      </c>
      <c r="G27" s="81">
        <v>0.79169999999999996</v>
      </c>
      <c r="H27" s="81">
        <v>0.79430000000000001</v>
      </c>
      <c r="I27" s="81">
        <v>0.68420000000000003</v>
      </c>
      <c r="J27" s="81">
        <v>0.44540000000000002</v>
      </c>
      <c r="K27" s="81">
        <v>0.8085</v>
      </c>
      <c r="L27" s="81">
        <v>0.18179999999999999</v>
      </c>
      <c r="M27" s="81">
        <f t="shared" si="0"/>
        <v>1.5762723210156298</v>
      </c>
      <c r="N27" s="81">
        <f t="shared" si="1"/>
        <v>0.56757011020665982</v>
      </c>
      <c r="O27" s="81">
        <f t="shared" si="2"/>
        <v>0.79824250074773639</v>
      </c>
      <c r="P27" s="41" t="str">
        <f t="shared" si="3"/>
        <v>C2</v>
      </c>
      <c r="Q27" s="41"/>
      <c r="R27" s="41"/>
      <c r="S27" s="41"/>
      <c r="T27" s="41"/>
      <c r="U27" s="41"/>
      <c r="V27" s="41"/>
      <c r="W27" s="81">
        <v>1.57627232101563</v>
      </c>
      <c r="X27" s="81">
        <v>0.56757011020665982</v>
      </c>
      <c r="Y27" s="81">
        <v>0.79824250074773651</v>
      </c>
      <c r="Z27" s="41" t="s">
        <v>1638</v>
      </c>
    </row>
    <row r="28" spans="1:26" x14ac:dyDescent="0.25">
      <c r="A28" s="41" t="s">
        <v>1579</v>
      </c>
      <c r="B28" s="81">
        <v>0.73040000000000005</v>
      </c>
      <c r="C28" s="81">
        <v>0.26960000000000001</v>
      </c>
      <c r="D28" s="81">
        <v>0.26960000000000001</v>
      </c>
      <c r="E28" s="81">
        <v>0.35199999999999998</v>
      </c>
      <c r="F28" s="81">
        <v>0</v>
      </c>
      <c r="G28" s="81">
        <v>0.66669999999999996</v>
      </c>
      <c r="H28" s="81">
        <v>0.52629999999999999</v>
      </c>
      <c r="I28" s="81">
        <v>0.42109999999999997</v>
      </c>
      <c r="J28" s="81">
        <v>0.65129999999999999</v>
      </c>
      <c r="K28" s="81">
        <v>0.38300000000000001</v>
      </c>
      <c r="L28" s="81">
        <v>0.34089999999999998</v>
      </c>
      <c r="M28" s="81">
        <f t="shared" si="0"/>
        <v>0.77541357996878035</v>
      </c>
      <c r="N28" s="81">
        <f t="shared" si="1"/>
        <v>0.67004314786437447</v>
      </c>
      <c r="O28" s="81">
        <f t="shared" si="2"/>
        <v>1.3307710471752832</v>
      </c>
      <c r="P28" s="41" t="str">
        <f t="shared" si="3"/>
        <v>C2</v>
      </c>
      <c r="Q28" s="41"/>
      <c r="R28" s="41"/>
      <c r="S28" s="41"/>
      <c r="T28" s="41"/>
      <c r="U28" s="41"/>
      <c r="V28" s="41"/>
      <c r="W28" s="81">
        <v>0.77541357996878024</v>
      </c>
      <c r="X28" s="81">
        <v>0.67004314786437447</v>
      </c>
      <c r="Y28" s="81">
        <v>1.3307710471752829</v>
      </c>
      <c r="Z28" s="41" t="s">
        <v>1638</v>
      </c>
    </row>
    <row r="29" spans="1:26" x14ac:dyDescent="0.25">
      <c r="A29" s="41" t="s">
        <v>1580</v>
      </c>
      <c r="B29" s="81">
        <v>0.1996</v>
      </c>
      <c r="C29" s="81">
        <v>0.8004</v>
      </c>
      <c r="D29" s="81">
        <v>0.8004</v>
      </c>
      <c r="E29" s="81">
        <v>0.1024</v>
      </c>
      <c r="F29" s="81">
        <v>0.70589999999999997</v>
      </c>
      <c r="G29" s="81">
        <v>0.875</v>
      </c>
      <c r="H29" s="81">
        <v>0.88039999999999996</v>
      </c>
      <c r="I29" s="81">
        <v>0.89470000000000005</v>
      </c>
      <c r="J29" s="81">
        <v>0.68069999999999997</v>
      </c>
      <c r="K29" s="81">
        <v>0.46810000000000002</v>
      </c>
      <c r="L29" s="81">
        <v>0.2273</v>
      </c>
      <c r="M29" s="81">
        <f t="shared" si="0"/>
        <v>1.9073702629536824</v>
      </c>
      <c r="N29" s="81">
        <f t="shared" si="1"/>
        <v>0.7492154830220743</v>
      </c>
      <c r="O29" s="81">
        <f t="shared" si="2"/>
        <v>0.18119547455717544</v>
      </c>
      <c r="P29" s="41" t="str">
        <f t="shared" si="3"/>
        <v>C3</v>
      </c>
      <c r="Q29" s="41"/>
      <c r="R29" s="41"/>
      <c r="S29" s="41"/>
      <c r="T29" s="41"/>
      <c r="U29" s="41"/>
      <c r="V29" s="41"/>
      <c r="W29" s="81">
        <v>1.9073702629536831</v>
      </c>
      <c r="X29" s="81">
        <v>0.74921548302207419</v>
      </c>
      <c r="Y29" s="81">
        <v>0.18119547455717541</v>
      </c>
      <c r="Z29" s="41" t="s">
        <v>1639</v>
      </c>
    </row>
    <row r="30" spans="1:26" x14ac:dyDescent="0.25">
      <c r="A30" s="41" t="s">
        <v>1581</v>
      </c>
      <c r="B30" s="81">
        <v>0.22650000000000001</v>
      </c>
      <c r="C30" s="81">
        <v>0.77349999999999997</v>
      </c>
      <c r="D30" s="81">
        <v>0.77349999999999997</v>
      </c>
      <c r="E30" s="81">
        <v>6.5199999999999994E-2</v>
      </c>
      <c r="F30" s="81">
        <v>0.64710000000000001</v>
      </c>
      <c r="G30" s="81">
        <v>0.83330000000000004</v>
      </c>
      <c r="H30" s="81">
        <v>0.90910000000000002</v>
      </c>
      <c r="I30" s="81">
        <v>0.68420000000000003</v>
      </c>
      <c r="J30" s="81">
        <v>0.65549999999999997</v>
      </c>
      <c r="K30" s="81">
        <v>0.42549999999999999</v>
      </c>
      <c r="L30" s="81">
        <v>0.11360000000000001</v>
      </c>
      <c r="M30" s="81">
        <f t="shared" si="0"/>
        <v>1.8067746649762388</v>
      </c>
      <c r="N30" s="81">
        <f t="shared" si="1"/>
        <v>0.71539149421837556</v>
      </c>
      <c r="O30" s="81">
        <f t="shared" si="2"/>
        <v>0.33296719057588842</v>
      </c>
      <c r="P30" s="41" t="str">
        <f t="shared" si="3"/>
        <v>C3</v>
      </c>
      <c r="Q30" s="41"/>
      <c r="R30" s="41"/>
      <c r="S30" s="41"/>
      <c r="T30" s="41"/>
      <c r="U30" s="41"/>
      <c r="V30" s="41"/>
      <c r="W30" s="81">
        <v>1.8067746649762391</v>
      </c>
      <c r="X30" s="81">
        <v>0.71539149421837556</v>
      </c>
      <c r="Y30" s="81">
        <v>0.33296719057588842</v>
      </c>
      <c r="Z30" s="41" t="s">
        <v>1639</v>
      </c>
    </row>
    <row r="31" spans="1:26" x14ac:dyDescent="0.25">
      <c r="A31" s="41" t="s">
        <v>1582</v>
      </c>
      <c r="B31" s="81">
        <v>0.74770000000000003</v>
      </c>
      <c r="C31" s="81">
        <v>0.25230000000000002</v>
      </c>
      <c r="D31" s="81">
        <v>0.25230000000000002</v>
      </c>
      <c r="E31" s="81">
        <v>0.32590000000000002</v>
      </c>
      <c r="F31" s="81">
        <v>0.4118</v>
      </c>
      <c r="G31" s="81">
        <v>0.625</v>
      </c>
      <c r="H31" s="81">
        <v>0.75119999999999998</v>
      </c>
      <c r="I31" s="81">
        <v>0.89470000000000005</v>
      </c>
      <c r="J31" s="81">
        <v>0.78990000000000005</v>
      </c>
      <c r="K31" s="81">
        <v>8.5099999999999995E-2</v>
      </c>
      <c r="L31" s="81">
        <v>0.15909999999999999</v>
      </c>
      <c r="M31" s="81">
        <f t="shared" si="0"/>
        <v>1.1890993019928993</v>
      </c>
      <c r="N31" s="81">
        <f t="shared" si="1"/>
        <v>0.6044401293759375</v>
      </c>
      <c r="O31" s="81">
        <f t="shared" si="2"/>
        <v>1.1060911490469489</v>
      </c>
      <c r="P31" s="41" t="str">
        <f t="shared" si="3"/>
        <v>C2</v>
      </c>
      <c r="Q31" s="41"/>
      <c r="R31" s="41"/>
      <c r="S31" s="41"/>
      <c r="T31" s="41"/>
      <c r="U31" s="41"/>
      <c r="V31" s="41"/>
      <c r="W31" s="81">
        <v>1.189099301992899</v>
      </c>
      <c r="X31" s="81">
        <v>0.6044401293759375</v>
      </c>
      <c r="Y31" s="81">
        <v>1.1060911490469489</v>
      </c>
      <c r="Z31" s="41" t="s">
        <v>1638</v>
      </c>
    </row>
    <row r="32" spans="1:26" x14ac:dyDescent="0.25">
      <c r="A32" s="41" t="s">
        <v>1583</v>
      </c>
      <c r="B32" s="81">
        <v>0.54239999999999999</v>
      </c>
      <c r="C32" s="81">
        <v>0.45760000000000001</v>
      </c>
      <c r="D32" s="81">
        <v>0.45760000000000001</v>
      </c>
      <c r="E32" s="81">
        <v>0.27929999999999999</v>
      </c>
      <c r="F32" s="81">
        <v>0.47060000000000002</v>
      </c>
      <c r="G32" s="81">
        <v>0.58330000000000004</v>
      </c>
      <c r="H32" s="81">
        <v>0.63160000000000005</v>
      </c>
      <c r="I32" s="81">
        <v>0.73680000000000001</v>
      </c>
      <c r="J32" s="81">
        <v>0.77310000000000001</v>
      </c>
      <c r="K32" s="81">
        <v>0.31909999999999999</v>
      </c>
      <c r="L32" s="81">
        <v>0.4773</v>
      </c>
      <c r="M32" s="81">
        <f t="shared" si="0"/>
        <v>1.1308254949372163</v>
      </c>
      <c r="N32" s="81">
        <f t="shared" si="1"/>
        <v>0.20320905491635943</v>
      </c>
      <c r="O32" s="81">
        <f t="shared" si="2"/>
        <v>0.78182991756519515</v>
      </c>
      <c r="P32" s="41" t="str">
        <f t="shared" si="3"/>
        <v>C2</v>
      </c>
      <c r="Q32" s="41"/>
      <c r="R32" s="41"/>
      <c r="S32" s="41"/>
      <c r="T32" s="41"/>
      <c r="U32" s="41"/>
      <c r="V32" s="41"/>
      <c r="W32" s="81">
        <v>1.1308254949372161</v>
      </c>
      <c r="X32" s="81">
        <v>0.20320905491635949</v>
      </c>
      <c r="Y32" s="81">
        <v>0.78182991756519526</v>
      </c>
      <c r="Z32" s="41" t="s">
        <v>1638</v>
      </c>
    </row>
    <row r="33" spans="1:26" x14ac:dyDescent="0.25">
      <c r="A33" s="41" t="s">
        <v>1584</v>
      </c>
      <c r="B33" s="81">
        <v>0.22889999999999999</v>
      </c>
      <c r="C33" s="81">
        <v>0.77110000000000001</v>
      </c>
      <c r="D33" s="81">
        <v>0.77110000000000001</v>
      </c>
      <c r="E33" s="81">
        <v>0.1024</v>
      </c>
      <c r="F33" s="81">
        <v>0.70589999999999997</v>
      </c>
      <c r="G33" s="81">
        <v>0.83330000000000004</v>
      </c>
      <c r="H33" s="81">
        <v>0.88039999999999996</v>
      </c>
      <c r="I33" s="81">
        <v>0.78949999999999998</v>
      </c>
      <c r="J33" s="81">
        <v>0.5504</v>
      </c>
      <c r="K33" s="81">
        <v>0.82979999999999998</v>
      </c>
      <c r="L33" s="81">
        <v>0.36359999999999998</v>
      </c>
      <c r="M33" s="81">
        <f t="shared" si="0"/>
        <v>1.9222053922513069</v>
      </c>
      <c r="N33" s="81">
        <f t="shared" si="1"/>
        <v>0.80291913042348162</v>
      </c>
      <c r="O33" s="81">
        <f t="shared" si="2"/>
        <v>0.5047548612940741</v>
      </c>
      <c r="P33" s="41" t="str">
        <f t="shared" si="3"/>
        <v>C3</v>
      </c>
      <c r="Q33" s="41"/>
      <c r="R33" s="41"/>
      <c r="S33" s="41"/>
      <c r="T33" s="41"/>
      <c r="U33" s="41"/>
      <c r="V33" s="41"/>
      <c r="W33" s="81">
        <v>1.9222053922513069</v>
      </c>
      <c r="X33" s="81">
        <v>0.80291913042348173</v>
      </c>
      <c r="Y33" s="81">
        <v>0.5047548612940741</v>
      </c>
      <c r="Z33" s="41" t="s">
        <v>1639</v>
      </c>
    </row>
    <row r="34" spans="1:26" x14ac:dyDescent="0.25">
      <c r="A34" s="41" t="s">
        <v>1585</v>
      </c>
      <c r="B34" s="81">
        <v>0.55969999999999998</v>
      </c>
      <c r="C34" s="81">
        <v>0.44030000000000002</v>
      </c>
      <c r="D34" s="81">
        <v>0.44030000000000002</v>
      </c>
      <c r="E34" s="81">
        <v>0.22720000000000001</v>
      </c>
      <c r="F34" s="81">
        <v>0.4118</v>
      </c>
      <c r="G34" s="81">
        <v>0.75</v>
      </c>
      <c r="H34" s="81">
        <v>0.72250000000000003</v>
      </c>
      <c r="I34" s="81">
        <v>0.73680000000000001</v>
      </c>
      <c r="J34" s="81">
        <v>0.74790000000000001</v>
      </c>
      <c r="K34" s="81">
        <v>0.44679999999999997</v>
      </c>
      <c r="L34" s="81">
        <v>0.15909999999999999</v>
      </c>
      <c r="M34" s="81">
        <f t="shared" si="0"/>
        <v>1.2843318301747411</v>
      </c>
      <c r="N34" s="81">
        <f t="shared" si="1"/>
        <v>0.27515571954804069</v>
      </c>
      <c r="O34" s="81">
        <f t="shared" si="2"/>
        <v>0.75916952652223868</v>
      </c>
      <c r="P34" s="41" t="str">
        <f t="shared" si="3"/>
        <v>C2</v>
      </c>
      <c r="Q34" s="41"/>
      <c r="R34" s="41"/>
      <c r="S34" s="41"/>
      <c r="T34" s="41"/>
      <c r="U34" s="41"/>
      <c r="V34" s="41"/>
      <c r="W34" s="81">
        <v>1.2843318301747411</v>
      </c>
      <c r="X34" s="81">
        <v>0.27515571954804069</v>
      </c>
      <c r="Y34" s="81">
        <v>0.75916952652223868</v>
      </c>
      <c r="Z34" s="41" t="s">
        <v>1638</v>
      </c>
    </row>
    <row r="35" spans="1:26" x14ac:dyDescent="0.25">
      <c r="A35" s="41" t="s">
        <v>1586</v>
      </c>
      <c r="B35" s="81">
        <v>0.55520000000000003</v>
      </c>
      <c r="C35" s="81">
        <v>0.44479999999999997</v>
      </c>
      <c r="D35" s="81">
        <v>0.44479999999999997</v>
      </c>
      <c r="E35" s="81">
        <v>0.43020000000000003</v>
      </c>
      <c r="F35" s="81">
        <v>0.35289999999999999</v>
      </c>
      <c r="G35" s="81">
        <v>0.70830000000000004</v>
      </c>
      <c r="H35" s="81">
        <v>0.57889999999999997</v>
      </c>
      <c r="I35" s="81">
        <v>0.73680000000000001</v>
      </c>
      <c r="J35" s="81">
        <v>0.68489999999999995</v>
      </c>
      <c r="K35" s="81">
        <v>0.12770000000000001</v>
      </c>
      <c r="L35" s="81">
        <v>9.0899999999999995E-2</v>
      </c>
      <c r="M35" s="81">
        <f t="shared" si="0"/>
        <v>1.1783250867226751</v>
      </c>
      <c r="N35" s="81">
        <f t="shared" si="1"/>
        <v>0.44781901478164143</v>
      </c>
      <c r="O35" s="81">
        <f t="shared" si="2"/>
        <v>0.9364438637740119</v>
      </c>
      <c r="P35" s="41" t="str">
        <f t="shared" si="3"/>
        <v>C2</v>
      </c>
      <c r="Q35" s="41"/>
      <c r="R35" s="41"/>
      <c r="S35" s="41"/>
      <c r="T35" s="41"/>
      <c r="U35" s="41"/>
      <c r="V35" s="41"/>
      <c r="W35" s="81">
        <v>1.1783250867226751</v>
      </c>
      <c r="X35" s="81">
        <v>0.44781901478164138</v>
      </c>
      <c r="Y35" s="81">
        <v>0.9364438637740119</v>
      </c>
      <c r="Z35" s="41" t="s">
        <v>1638</v>
      </c>
    </row>
    <row r="36" spans="1:26" x14ac:dyDescent="0.25">
      <c r="A36" s="41" t="s">
        <v>1587</v>
      </c>
      <c r="B36" s="81">
        <v>0</v>
      </c>
      <c r="C36" s="81">
        <v>1</v>
      </c>
      <c r="D36" s="81">
        <v>1</v>
      </c>
      <c r="E36" s="81">
        <v>0</v>
      </c>
      <c r="F36" s="81">
        <v>0.64710000000000001</v>
      </c>
      <c r="G36" s="81">
        <v>0.91669999999999996</v>
      </c>
      <c r="H36" s="81">
        <v>0.97130000000000005</v>
      </c>
      <c r="I36" s="81">
        <v>0.94740000000000002</v>
      </c>
      <c r="J36" s="81">
        <v>0.73950000000000005</v>
      </c>
      <c r="K36" s="81">
        <v>0.40429999999999999</v>
      </c>
      <c r="L36" s="81">
        <v>0.18179999999999999</v>
      </c>
      <c r="M36" s="81">
        <f t="shared" si="0"/>
        <v>2.1893759887237274</v>
      </c>
      <c r="N36" s="81">
        <f t="shared" si="1"/>
        <v>1.0788083240316604</v>
      </c>
      <c r="O36" s="81">
        <f t="shared" si="2"/>
        <v>0.44794499662346943</v>
      </c>
      <c r="P36" s="41" t="str">
        <f t="shared" si="3"/>
        <v>C3</v>
      </c>
      <c r="Q36" s="41"/>
      <c r="R36" s="41"/>
      <c r="S36" s="41"/>
      <c r="T36" s="41"/>
      <c r="U36" s="41"/>
      <c r="V36" s="41"/>
      <c r="W36" s="81">
        <v>2.1893759887237279</v>
      </c>
      <c r="X36" s="81">
        <v>1.0788083240316599</v>
      </c>
      <c r="Y36" s="81">
        <v>0.44794499662346943</v>
      </c>
      <c r="Z36" s="41" t="s">
        <v>1639</v>
      </c>
    </row>
    <row r="37" spans="1:26" x14ac:dyDescent="0.25">
      <c r="A37" s="41" t="s">
        <v>1588</v>
      </c>
      <c r="B37" s="81">
        <v>0.17760000000000001</v>
      </c>
      <c r="C37" s="81">
        <v>0.82240000000000002</v>
      </c>
      <c r="D37" s="81">
        <v>0.82240000000000002</v>
      </c>
      <c r="E37" s="81">
        <v>7.4499999999999997E-2</v>
      </c>
      <c r="F37" s="81">
        <v>0.94120000000000004</v>
      </c>
      <c r="G37" s="81">
        <v>0.95830000000000004</v>
      </c>
      <c r="H37" s="81">
        <v>0.9617</v>
      </c>
      <c r="I37" s="81">
        <v>0.84209999999999996</v>
      </c>
      <c r="J37" s="81">
        <v>0.80669999999999997</v>
      </c>
      <c r="K37" s="81">
        <v>0.10639999999999999</v>
      </c>
      <c r="L37" s="81">
        <v>0.4773</v>
      </c>
      <c r="M37" s="81">
        <f t="shared" si="0"/>
        <v>2.0136604654211196</v>
      </c>
      <c r="N37" s="81">
        <f t="shared" si="1"/>
        <v>0.99069503380202728</v>
      </c>
      <c r="O37" s="81">
        <f t="shared" si="2"/>
        <v>0.39378464926911511</v>
      </c>
      <c r="P37" s="41" t="str">
        <f t="shared" si="3"/>
        <v>C3</v>
      </c>
      <c r="Q37" s="41"/>
      <c r="R37" s="41"/>
      <c r="S37" s="41"/>
      <c r="T37" s="41"/>
      <c r="U37" s="41"/>
      <c r="V37" s="41"/>
      <c r="W37" s="81">
        <v>2.0136604654211201</v>
      </c>
      <c r="X37" s="81">
        <v>0.99069503380202728</v>
      </c>
      <c r="Y37" s="81">
        <v>0.39378464926911522</v>
      </c>
      <c r="Z37" s="41" t="s">
        <v>1639</v>
      </c>
    </row>
    <row r="38" spans="1:26" x14ac:dyDescent="0.25">
      <c r="A38" s="41" t="s">
        <v>1589</v>
      </c>
      <c r="B38" s="81">
        <v>2.98E-2</v>
      </c>
      <c r="C38" s="81">
        <v>0.97019999999999995</v>
      </c>
      <c r="D38" s="81">
        <v>0.97019999999999995</v>
      </c>
      <c r="E38" s="81">
        <v>2.4199999999999999E-2</v>
      </c>
      <c r="F38" s="81">
        <v>0.88239999999999996</v>
      </c>
      <c r="G38" s="81">
        <v>1</v>
      </c>
      <c r="H38" s="81">
        <v>1</v>
      </c>
      <c r="I38" s="81">
        <v>1</v>
      </c>
      <c r="J38" s="81">
        <v>0.49159999999999998</v>
      </c>
      <c r="K38" s="81">
        <v>0.61699999999999999</v>
      </c>
      <c r="L38" s="81">
        <v>0.4773</v>
      </c>
      <c r="M38" s="81">
        <f t="shared" si="0"/>
        <v>2.3279824999342242</v>
      </c>
      <c r="N38" s="81">
        <f t="shared" si="1"/>
        <v>1.1840188343096574</v>
      </c>
      <c r="O38" s="81">
        <f t="shared" si="2"/>
        <v>0.56953389714748326</v>
      </c>
      <c r="P38" s="41" t="str">
        <f t="shared" si="3"/>
        <v>C3</v>
      </c>
      <c r="Q38" s="41"/>
      <c r="R38" s="41"/>
      <c r="S38" s="41"/>
      <c r="T38" s="41"/>
      <c r="U38" s="41"/>
      <c r="V38" s="41"/>
      <c r="W38" s="81">
        <v>2.3279824999342238</v>
      </c>
      <c r="X38" s="81">
        <v>1.1840188343096569</v>
      </c>
      <c r="Y38" s="81">
        <v>0.56953389714748326</v>
      </c>
      <c r="Z38" s="41" t="s">
        <v>1639</v>
      </c>
    </row>
    <row r="39" spans="1:26" x14ac:dyDescent="0.25">
      <c r="A39" s="41" t="s">
        <v>1590</v>
      </c>
      <c r="B39" s="81">
        <v>0.2954</v>
      </c>
      <c r="C39" s="81">
        <v>0.7046</v>
      </c>
      <c r="D39" s="81">
        <v>0.7046</v>
      </c>
      <c r="E39" s="81">
        <v>0.1173</v>
      </c>
      <c r="F39" s="81">
        <v>1</v>
      </c>
      <c r="G39" s="81">
        <v>0.75</v>
      </c>
      <c r="H39" s="81">
        <v>0.80859999999999999</v>
      </c>
      <c r="I39" s="81">
        <v>0.84209999999999996</v>
      </c>
      <c r="J39" s="81">
        <v>0.90339999999999998</v>
      </c>
      <c r="K39" s="81">
        <v>0.1915</v>
      </c>
      <c r="L39" s="81">
        <v>0.20449999999999999</v>
      </c>
      <c r="M39" s="81">
        <f t="shared" si="0"/>
        <v>1.822179818239682</v>
      </c>
      <c r="N39" s="81">
        <f t="shared" si="1"/>
        <v>0.82222176448936202</v>
      </c>
      <c r="O39" s="81">
        <f t="shared" si="2"/>
        <v>0.44115127790815695</v>
      </c>
      <c r="P39" s="41" t="str">
        <f t="shared" si="3"/>
        <v>C3</v>
      </c>
      <c r="Q39" s="41"/>
      <c r="R39" s="41"/>
      <c r="S39" s="41"/>
      <c r="T39" s="41"/>
      <c r="U39" s="41"/>
      <c r="V39" s="41"/>
      <c r="W39" s="81">
        <v>1.822179818239682</v>
      </c>
      <c r="X39" s="81">
        <v>0.82222176448936213</v>
      </c>
      <c r="Y39" s="81">
        <v>0.44115127790815689</v>
      </c>
      <c r="Z39" s="41" t="s">
        <v>1639</v>
      </c>
    </row>
    <row r="40" spans="1:26" x14ac:dyDescent="0.25">
      <c r="A40" s="41" t="s">
        <v>1591</v>
      </c>
      <c r="B40" s="81">
        <v>0.52280000000000004</v>
      </c>
      <c r="C40" s="81">
        <v>0.47720000000000001</v>
      </c>
      <c r="D40" s="81">
        <v>0.47720000000000001</v>
      </c>
      <c r="E40" s="81">
        <v>0.21790000000000001</v>
      </c>
      <c r="F40" s="81">
        <v>0.4118</v>
      </c>
      <c r="G40" s="81">
        <v>0.625</v>
      </c>
      <c r="H40" s="81">
        <v>0.65549999999999997</v>
      </c>
      <c r="I40" s="81">
        <v>0.63160000000000005</v>
      </c>
      <c r="J40" s="81">
        <v>0.86550000000000005</v>
      </c>
      <c r="K40" s="81">
        <v>2.1299999999999999E-2</v>
      </c>
      <c r="L40" s="81">
        <v>0.40910000000000002</v>
      </c>
      <c r="M40" s="81">
        <f t="shared" si="0"/>
        <v>1.1017950353854387</v>
      </c>
      <c r="N40" s="81">
        <f t="shared" si="1"/>
        <v>0.45009112410710794</v>
      </c>
      <c r="O40" s="81">
        <f t="shared" si="2"/>
        <v>0.84459327489626634</v>
      </c>
      <c r="P40" s="41" t="str">
        <f t="shared" si="3"/>
        <v>C2</v>
      </c>
      <c r="Q40" s="41"/>
      <c r="R40" s="41"/>
      <c r="S40" s="41"/>
      <c r="T40" s="41"/>
      <c r="U40" s="41"/>
      <c r="V40" s="41"/>
      <c r="W40" s="81">
        <v>1.1017950353854391</v>
      </c>
      <c r="X40" s="81">
        <v>0.45009112410710789</v>
      </c>
      <c r="Y40" s="81">
        <v>0.84459327489626623</v>
      </c>
      <c r="Z40" s="41" t="s">
        <v>1638</v>
      </c>
    </row>
    <row r="41" spans="1:26" x14ac:dyDescent="0.25">
      <c r="A41" s="41" t="s">
        <v>1592</v>
      </c>
      <c r="B41" s="81">
        <v>0.29060000000000002</v>
      </c>
      <c r="C41" s="81">
        <v>0.70940000000000003</v>
      </c>
      <c r="D41" s="81">
        <v>0.70940000000000003</v>
      </c>
      <c r="E41" s="81">
        <v>0.13780000000000001</v>
      </c>
      <c r="F41" s="81">
        <v>0.70589999999999997</v>
      </c>
      <c r="G41" s="81">
        <v>0.79169999999999996</v>
      </c>
      <c r="H41" s="81">
        <v>0.86599999999999999</v>
      </c>
      <c r="I41" s="81">
        <v>0.94740000000000002</v>
      </c>
      <c r="J41" s="81">
        <v>0.89500000000000002</v>
      </c>
      <c r="K41" s="81">
        <v>0.31909999999999999</v>
      </c>
      <c r="L41" s="81">
        <v>0.4773</v>
      </c>
      <c r="M41" s="81">
        <f t="shared" si="0"/>
        <v>1.7366621634618522</v>
      </c>
      <c r="N41" s="81">
        <f t="shared" si="1"/>
        <v>0.64699016221268779</v>
      </c>
      <c r="O41" s="81">
        <f t="shared" si="2"/>
        <v>0.2745731778597465</v>
      </c>
      <c r="P41" s="41" t="str">
        <f t="shared" si="3"/>
        <v>C3</v>
      </c>
      <c r="Q41" s="41"/>
      <c r="R41" s="41"/>
      <c r="S41" s="41"/>
      <c r="T41" s="41"/>
      <c r="U41" s="41"/>
      <c r="V41" s="41"/>
      <c r="W41" s="81">
        <v>1.736662163461852</v>
      </c>
      <c r="X41" s="81">
        <v>0.64699016221268779</v>
      </c>
      <c r="Y41" s="81">
        <v>0.27457317785974661</v>
      </c>
      <c r="Z41" s="41" t="s">
        <v>1639</v>
      </c>
    </row>
    <row r="42" spans="1:26" x14ac:dyDescent="0.25">
      <c r="A42" s="41" t="s">
        <v>1593</v>
      </c>
      <c r="B42" s="81">
        <v>0.59430000000000005</v>
      </c>
      <c r="C42" s="81">
        <v>0.40570000000000001</v>
      </c>
      <c r="D42" s="81">
        <v>0.40570000000000001</v>
      </c>
      <c r="E42" s="81">
        <v>0.18809999999999999</v>
      </c>
      <c r="F42" s="81">
        <v>0.52939999999999998</v>
      </c>
      <c r="G42" s="81">
        <v>0.625</v>
      </c>
      <c r="H42" s="81">
        <v>0.77510000000000001</v>
      </c>
      <c r="I42" s="81">
        <v>0.89470000000000005</v>
      </c>
      <c r="J42" s="81">
        <v>0.72270000000000001</v>
      </c>
      <c r="K42" s="81">
        <v>0.87229999999999996</v>
      </c>
      <c r="L42" s="81">
        <v>0.84089999999999998</v>
      </c>
      <c r="M42" s="81">
        <f t="shared" si="0"/>
        <v>1.5060140835994862</v>
      </c>
      <c r="N42" s="81">
        <f t="shared" si="1"/>
        <v>0.72610339484125819</v>
      </c>
      <c r="O42" s="81">
        <f t="shared" si="2"/>
        <v>1.0234974352679151</v>
      </c>
      <c r="P42" s="41" t="str">
        <f t="shared" si="3"/>
        <v>C2</v>
      </c>
      <c r="Q42" s="41"/>
      <c r="R42" s="41"/>
      <c r="S42" s="41"/>
      <c r="T42" s="41"/>
      <c r="U42" s="41"/>
      <c r="V42" s="41"/>
      <c r="W42" s="81">
        <v>1.506014083599486</v>
      </c>
      <c r="X42" s="81">
        <v>0.72610339484125819</v>
      </c>
      <c r="Y42" s="81">
        <v>1.0234974352679149</v>
      </c>
      <c r="Z42" s="41" t="s">
        <v>1638</v>
      </c>
    </row>
    <row r="43" spans="1:26" x14ac:dyDescent="0.25">
      <c r="A43" s="41" t="s">
        <v>1594</v>
      </c>
      <c r="B43" s="81">
        <v>0.31469999999999998</v>
      </c>
      <c r="C43" s="81">
        <v>0.68530000000000002</v>
      </c>
      <c r="D43" s="81">
        <v>0.68530000000000002</v>
      </c>
      <c r="E43" s="81">
        <v>0.8417</v>
      </c>
      <c r="F43" s="81">
        <v>0.58819999999999995</v>
      </c>
      <c r="G43" s="81">
        <v>0.66669999999999996</v>
      </c>
      <c r="H43" s="81">
        <v>0.77510000000000001</v>
      </c>
      <c r="I43" s="81">
        <v>1</v>
      </c>
      <c r="J43" s="81">
        <v>0.64290000000000003</v>
      </c>
      <c r="K43" s="81">
        <v>0.61699999999999999</v>
      </c>
      <c r="L43" s="81">
        <v>0.5</v>
      </c>
      <c r="M43" s="81">
        <f t="shared" si="0"/>
        <v>1.7068188363150907</v>
      </c>
      <c r="N43" s="81">
        <f t="shared" si="1"/>
        <v>0.75186669031152065</v>
      </c>
      <c r="O43" s="81">
        <f t="shared" si="2"/>
        <v>0.88203146202388949</v>
      </c>
      <c r="P43" s="41" t="str">
        <f t="shared" si="3"/>
        <v>C2</v>
      </c>
      <c r="Q43" s="41"/>
      <c r="R43" s="41"/>
      <c r="S43" s="41"/>
      <c r="T43" s="41"/>
      <c r="U43" s="41"/>
      <c r="V43" s="41"/>
      <c r="W43" s="81">
        <v>1.7068188363150909</v>
      </c>
      <c r="X43" s="81">
        <v>0.75186669031152054</v>
      </c>
      <c r="Y43" s="81">
        <v>0.88203146202388949</v>
      </c>
      <c r="Z43" s="41" t="s">
        <v>1638</v>
      </c>
    </row>
    <row r="44" spans="1:26" x14ac:dyDescent="0.25">
      <c r="A44" s="41" t="s">
        <v>1595</v>
      </c>
      <c r="B44" s="81">
        <v>0.18429999999999999</v>
      </c>
      <c r="C44" s="81">
        <v>0.81569999999999998</v>
      </c>
      <c r="D44" s="81">
        <v>0.81569999999999998</v>
      </c>
      <c r="E44" s="81">
        <v>0.13220000000000001</v>
      </c>
      <c r="F44" s="81">
        <v>0.35289999999999999</v>
      </c>
      <c r="G44" s="81">
        <v>0.79169999999999996</v>
      </c>
      <c r="H44" s="81">
        <v>0.6986</v>
      </c>
      <c r="I44" s="81">
        <v>0.73680000000000001</v>
      </c>
      <c r="J44" s="81">
        <v>0.93279999999999996</v>
      </c>
      <c r="K44" s="81">
        <v>0.34039999999999998</v>
      </c>
      <c r="L44" s="81">
        <v>0.2273</v>
      </c>
      <c r="M44" s="81">
        <f t="shared" si="0"/>
        <v>1.6296349990105146</v>
      </c>
      <c r="N44" s="81">
        <f t="shared" si="1"/>
        <v>0.66259407633935274</v>
      </c>
      <c r="O44" s="81">
        <f t="shared" si="2"/>
        <v>0.49488080383057897</v>
      </c>
      <c r="P44" s="41" t="str">
        <f t="shared" si="3"/>
        <v>C3</v>
      </c>
      <c r="Q44" s="41"/>
      <c r="R44" s="41"/>
      <c r="S44" s="41"/>
      <c r="T44" s="41"/>
      <c r="U44" s="41"/>
      <c r="V44" s="41"/>
      <c r="W44" s="81">
        <v>1.629634999010515</v>
      </c>
      <c r="X44" s="81">
        <v>0.66259407633935274</v>
      </c>
      <c r="Y44" s="81">
        <v>0.49488080383057897</v>
      </c>
      <c r="Z44" s="41" t="s">
        <v>1639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45"/>
  <sheetViews>
    <sheetView workbookViewId="0"/>
  </sheetViews>
  <sheetFormatPr defaultRowHeight="15" x14ac:dyDescent="0.25"/>
  <cols>
    <col min="1" max="5" width="17" customWidth="1"/>
  </cols>
  <sheetData>
    <row r="1" spans="1:5" x14ac:dyDescent="0.25">
      <c r="A1" s="80" t="s">
        <v>1671</v>
      </c>
      <c r="B1" s="80" t="s">
        <v>1687</v>
      </c>
      <c r="C1" s="80" t="s">
        <v>1688</v>
      </c>
      <c r="D1" s="80" t="s">
        <v>1689</v>
      </c>
      <c r="E1" s="80" t="s">
        <v>1600</v>
      </c>
    </row>
    <row r="2" spans="1:5" x14ac:dyDescent="0.25">
      <c r="A2" s="41" t="s">
        <v>1555</v>
      </c>
      <c r="B2" s="41" t="s">
        <v>1639</v>
      </c>
      <c r="C2" s="41" t="s">
        <v>1639</v>
      </c>
      <c r="D2" s="41" t="s">
        <v>1690</v>
      </c>
      <c r="E2" s="41" t="s">
        <v>1691</v>
      </c>
    </row>
    <row r="3" spans="1:5" x14ac:dyDescent="0.25">
      <c r="A3" s="41" t="s">
        <v>1557</v>
      </c>
      <c r="B3" s="41" t="s">
        <v>1639</v>
      </c>
      <c r="C3" s="41" t="s">
        <v>1639</v>
      </c>
      <c r="D3" s="41" t="s">
        <v>1690</v>
      </c>
      <c r="E3" s="41" t="s">
        <v>1691</v>
      </c>
    </row>
    <row r="4" spans="1:5" x14ac:dyDescent="0.25">
      <c r="A4" s="41" t="s">
        <v>1558</v>
      </c>
      <c r="B4" s="41" t="s">
        <v>1639</v>
      </c>
      <c r="C4" s="41" t="s">
        <v>1639</v>
      </c>
      <c r="D4" s="41" t="s">
        <v>1690</v>
      </c>
      <c r="E4" s="41" t="s">
        <v>1691</v>
      </c>
    </row>
    <row r="5" spans="1:5" x14ac:dyDescent="0.25">
      <c r="A5" s="41" t="s">
        <v>1559</v>
      </c>
      <c r="B5" s="41" t="s">
        <v>1638</v>
      </c>
      <c r="C5" s="41" t="s">
        <v>1638</v>
      </c>
      <c r="D5" s="41" t="s">
        <v>1690</v>
      </c>
      <c r="E5" s="41" t="s">
        <v>1691</v>
      </c>
    </row>
    <row r="6" spans="1:5" x14ac:dyDescent="0.25">
      <c r="A6" s="41" t="s">
        <v>1560</v>
      </c>
      <c r="B6" s="41" t="s">
        <v>1638</v>
      </c>
      <c r="C6" s="41" t="s">
        <v>1638</v>
      </c>
      <c r="D6" s="41" t="s">
        <v>1690</v>
      </c>
      <c r="E6" s="41" t="s">
        <v>1691</v>
      </c>
    </row>
    <row r="7" spans="1:5" ht="30" x14ac:dyDescent="0.25">
      <c r="A7" s="41" t="s">
        <v>1561</v>
      </c>
      <c r="B7" s="41" t="s">
        <v>1639</v>
      </c>
      <c r="C7" s="41" t="s">
        <v>1639</v>
      </c>
      <c r="D7" s="41" t="s">
        <v>1690</v>
      </c>
      <c r="E7" s="41" t="s">
        <v>1691</v>
      </c>
    </row>
    <row r="8" spans="1:5" x14ac:dyDescent="0.25">
      <c r="A8" s="41" t="s">
        <v>1562</v>
      </c>
      <c r="B8" s="41" t="s">
        <v>1638</v>
      </c>
      <c r="C8" s="41" t="s">
        <v>1638</v>
      </c>
      <c r="D8" s="41" t="s">
        <v>1690</v>
      </c>
      <c r="E8" s="41" t="s">
        <v>1691</v>
      </c>
    </row>
    <row r="9" spans="1:5" x14ac:dyDescent="0.25">
      <c r="A9" s="41" t="s">
        <v>1563</v>
      </c>
      <c r="B9" s="41" t="s">
        <v>1639</v>
      </c>
      <c r="C9" s="41" t="s">
        <v>1639</v>
      </c>
      <c r="D9" s="41" t="s">
        <v>1690</v>
      </c>
      <c r="E9" s="41" t="s">
        <v>1691</v>
      </c>
    </row>
    <row r="10" spans="1:5" x14ac:dyDescent="0.25">
      <c r="A10" s="41" t="s">
        <v>1564</v>
      </c>
      <c r="B10" s="41" t="s">
        <v>1638</v>
      </c>
      <c r="C10" s="41" t="s">
        <v>1638</v>
      </c>
      <c r="D10" s="41" t="s">
        <v>1690</v>
      </c>
      <c r="E10" s="41" t="s">
        <v>1691</v>
      </c>
    </row>
    <row r="11" spans="1:5" x14ac:dyDescent="0.25">
      <c r="A11" s="41" t="s">
        <v>1565</v>
      </c>
      <c r="B11" s="41" t="s">
        <v>1638</v>
      </c>
      <c r="C11" s="41" t="s">
        <v>1638</v>
      </c>
      <c r="D11" s="41" t="s">
        <v>1690</v>
      </c>
      <c r="E11" s="41" t="s">
        <v>1691</v>
      </c>
    </row>
    <row r="12" spans="1:5" x14ac:dyDescent="0.25">
      <c r="A12" s="41" t="s">
        <v>1566</v>
      </c>
      <c r="B12" s="41" t="s">
        <v>1639</v>
      </c>
      <c r="C12" s="41" t="s">
        <v>1639</v>
      </c>
      <c r="D12" s="41" t="s">
        <v>1690</v>
      </c>
      <c r="E12" s="41" t="s">
        <v>1691</v>
      </c>
    </row>
    <row r="13" spans="1:5" x14ac:dyDescent="0.25">
      <c r="A13" s="41" t="s">
        <v>1567</v>
      </c>
      <c r="B13" s="41" t="s">
        <v>1638</v>
      </c>
      <c r="C13" s="41" t="s">
        <v>1638</v>
      </c>
      <c r="D13" s="41" t="s">
        <v>1690</v>
      </c>
      <c r="E13" s="41" t="s">
        <v>1691</v>
      </c>
    </row>
    <row r="14" spans="1:5" x14ac:dyDescent="0.25">
      <c r="A14" s="41" t="s">
        <v>1568</v>
      </c>
      <c r="B14" s="41" t="s">
        <v>1638</v>
      </c>
      <c r="C14" s="41" t="s">
        <v>1638</v>
      </c>
      <c r="D14" s="41" t="s">
        <v>1690</v>
      </c>
      <c r="E14" s="41" t="s">
        <v>1691</v>
      </c>
    </row>
    <row r="15" spans="1:5" x14ac:dyDescent="0.25">
      <c r="A15" s="41" t="s">
        <v>1569</v>
      </c>
      <c r="B15" s="41" t="s">
        <v>1638</v>
      </c>
      <c r="C15" s="41" t="s">
        <v>1638</v>
      </c>
      <c r="D15" s="41" t="s">
        <v>1690</v>
      </c>
      <c r="E15" s="41" t="s">
        <v>1691</v>
      </c>
    </row>
    <row r="16" spans="1:5" x14ac:dyDescent="0.25">
      <c r="A16" s="41" t="s">
        <v>1570</v>
      </c>
      <c r="B16" s="41" t="s">
        <v>1637</v>
      </c>
      <c r="C16" s="41" t="s">
        <v>1637</v>
      </c>
      <c r="D16" s="41" t="s">
        <v>1690</v>
      </c>
      <c r="E16" s="41" t="s">
        <v>1691</v>
      </c>
    </row>
    <row r="17" spans="1:5" x14ac:dyDescent="0.25">
      <c r="A17" s="41" t="s">
        <v>1571</v>
      </c>
      <c r="B17" s="41" t="s">
        <v>1638</v>
      </c>
      <c r="C17" s="41" t="s">
        <v>1638</v>
      </c>
      <c r="D17" s="41" t="s">
        <v>1690</v>
      </c>
      <c r="E17" s="41" t="s">
        <v>1691</v>
      </c>
    </row>
    <row r="18" spans="1:5" x14ac:dyDescent="0.25">
      <c r="A18" s="41" t="s">
        <v>1572</v>
      </c>
      <c r="B18" s="41" t="s">
        <v>1638</v>
      </c>
      <c r="C18" s="41" t="s">
        <v>1638</v>
      </c>
      <c r="D18" s="41" t="s">
        <v>1690</v>
      </c>
      <c r="E18" s="41" t="s">
        <v>1691</v>
      </c>
    </row>
    <row r="19" spans="1:5" x14ac:dyDescent="0.25">
      <c r="A19" s="41" t="s">
        <v>1573</v>
      </c>
      <c r="B19" s="41" t="s">
        <v>1637</v>
      </c>
      <c r="C19" s="41" t="s">
        <v>1637</v>
      </c>
      <c r="D19" s="41" t="s">
        <v>1690</v>
      </c>
      <c r="E19" s="41" t="s">
        <v>1691</v>
      </c>
    </row>
    <row r="20" spans="1:5" x14ac:dyDescent="0.25">
      <c r="A20" s="41" t="s">
        <v>1574</v>
      </c>
      <c r="B20" s="41" t="s">
        <v>1638</v>
      </c>
      <c r="C20" s="41" t="s">
        <v>1638</v>
      </c>
      <c r="D20" s="41" t="s">
        <v>1690</v>
      </c>
      <c r="E20" s="41" t="s">
        <v>1691</v>
      </c>
    </row>
    <row r="21" spans="1:5" x14ac:dyDescent="0.25">
      <c r="A21" s="41" t="s">
        <v>1575</v>
      </c>
      <c r="B21" s="41" t="s">
        <v>1638</v>
      </c>
      <c r="C21" s="41" t="s">
        <v>1638</v>
      </c>
      <c r="D21" s="41" t="s">
        <v>1690</v>
      </c>
      <c r="E21" s="41" t="s">
        <v>1691</v>
      </c>
    </row>
    <row r="22" spans="1:5" x14ac:dyDescent="0.25">
      <c r="A22" s="41" t="s">
        <v>1576</v>
      </c>
      <c r="B22" s="41" t="s">
        <v>1638</v>
      </c>
      <c r="C22" s="41" t="s">
        <v>1638</v>
      </c>
      <c r="D22" s="41" t="s">
        <v>1690</v>
      </c>
      <c r="E22" s="41" t="s">
        <v>1691</v>
      </c>
    </row>
    <row r="23" spans="1:5" x14ac:dyDescent="0.25">
      <c r="A23" s="41" t="s">
        <v>1577</v>
      </c>
      <c r="B23" s="41" t="s">
        <v>1638</v>
      </c>
      <c r="C23" s="41" t="s">
        <v>1638</v>
      </c>
      <c r="D23" s="41" t="s">
        <v>1690</v>
      </c>
      <c r="E23" s="41" t="s">
        <v>1691</v>
      </c>
    </row>
    <row r="24" spans="1:5" x14ac:dyDescent="0.25">
      <c r="A24" s="41" t="s">
        <v>1578</v>
      </c>
      <c r="B24" s="41" t="s">
        <v>1638</v>
      </c>
      <c r="C24" s="41" t="s">
        <v>1638</v>
      </c>
      <c r="D24" s="41" t="s">
        <v>1690</v>
      </c>
      <c r="E24" s="41" t="s">
        <v>1691</v>
      </c>
    </row>
    <row r="25" spans="1:5" x14ac:dyDescent="0.25">
      <c r="A25" s="41" t="s">
        <v>1579</v>
      </c>
      <c r="B25" s="41" t="s">
        <v>1638</v>
      </c>
      <c r="C25" s="41" t="s">
        <v>1638</v>
      </c>
      <c r="D25" s="41" t="s">
        <v>1690</v>
      </c>
      <c r="E25" s="41" t="s">
        <v>1691</v>
      </c>
    </row>
    <row r="26" spans="1:5" x14ac:dyDescent="0.25">
      <c r="A26" s="41" t="s">
        <v>1580</v>
      </c>
      <c r="B26" s="41" t="s">
        <v>1639</v>
      </c>
      <c r="C26" s="41" t="s">
        <v>1639</v>
      </c>
      <c r="D26" s="41" t="s">
        <v>1690</v>
      </c>
      <c r="E26" s="41" t="s">
        <v>1691</v>
      </c>
    </row>
    <row r="27" spans="1:5" x14ac:dyDescent="0.25">
      <c r="A27" s="41" t="s">
        <v>1581</v>
      </c>
      <c r="B27" s="41" t="s">
        <v>1639</v>
      </c>
      <c r="C27" s="41" t="s">
        <v>1639</v>
      </c>
      <c r="D27" s="41" t="s">
        <v>1690</v>
      </c>
      <c r="E27" s="41" t="s">
        <v>1691</v>
      </c>
    </row>
    <row r="28" spans="1:5" x14ac:dyDescent="0.25">
      <c r="A28" s="41" t="s">
        <v>1582</v>
      </c>
      <c r="B28" s="41" t="s">
        <v>1638</v>
      </c>
      <c r="C28" s="41" t="s">
        <v>1638</v>
      </c>
      <c r="D28" s="41" t="s">
        <v>1690</v>
      </c>
      <c r="E28" s="41" t="s">
        <v>1691</v>
      </c>
    </row>
    <row r="29" spans="1:5" x14ac:dyDescent="0.25">
      <c r="A29" s="41" t="s">
        <v>1583</v>
      </c>
      <c r="B29" s="41" t="s">
        <v>1638</v>
      </c>
      <c r="C29" s="41" t="s">
        <v>1638</v>
      </c>
      <c r="D29" s="41" t="s">
        <v>1690</v>
      </c>
      <c r="E29" s="41" t="s">
        <v>1691</v>
      </c>
    </row>
    <row r="30" spans="1:5" x14ac:dyDescent="0.25">
      <c r="A30" s="41" t="s">
        <v>1584</v>
      </c>
      <c r="B30" s="41" t="s">
        <v>1639</v>
      </c>
      <c r="C30" s="41" t="s">
        <v>1639</v>
      </c>
      <c r="D30" s="41" t="s">
        <v>1690</v>
      </c>
      <c r="E30" s="41" t="s">
        <v>1691</v>
      </c>
    </row>
    <row r="31" spans="1:5" x14ac:dyDescent="0.25">
      <c r="A31" s="41" t="s">
        <v>1585</v>
      </c>
      <c r="B31" s="41" t="s">
        <v>1638</v>
      </c>
      <c r="C31" s="41" t="s">
        <v>1638</v>
      </c>
      <c r="D31" s="41" t="s">
        <v>1690</v>
      </c>
      <c r="E31" s="41" t="s">
        <v>1691</v>
      </c>
    </row>
    <row r="32" spans="1:5" x14ac:dyDescent="0.25">
      <c r="A32" s="41" t="s">
        <v>1586</v>
      </c>
      <c r="B32" s="41" t="s">
        <v>1638</v>
      </c>
      <c r="C32" s="41" t="s">
        <v>1638</v>
      </c>
      <c r="D32" s="41" t="s">
        <v>1690</v>
      </c>
      <c r="E32" s="41" t="s">
        <v>1691</v>
      </c>
    </row>
    <row r="33" spans="1:5" x14ac:dyDescent="0.25">
      <c r="A33" s="41" t="s">
        <v>1587</v>
      </c>
      <c r="B33" s="41" t="s">
        <v>1639</v>
      </c>
      <c r="C33" s="41" t="s">
        <v>1639</v>
      </c>
      <c r="D33" s="41" t="s">
        <v>1690</v>
      </c>
      <c r="E33" s="41" t="s">
        <v>1691</v>
      </c>
    </row>
    <row r="34" spans="1:5" x14ac:dyDescent="0.25">
      <c r="A34" s="41" t="s">
        <v>1588</v>
      </c>
      <c r="B34" s="41" t="s">
        <v>1639</v>
      </c>
      <c r="C34" s="41" t="s">
        <v>1639</v>
      </c>
      <c r="D34" s="41" t="s">
        <v>1690</v>
      </c>
      <c r="E34" s="41" t="s">
        <v>1691</v>
      </c>
    </row>
    <row r="35" spans="1:5" x14ac:dyDescent="0.25">
      <c r="A35" s="41" t="s">
        <v>1589</v>
      </c>
      <c r="B35" s="41" t="s">
        <v>1639</v>
      </c>
      <c r="C35" s="41" t="s">
        <v>1639</v>
      </c>
      <c r="D35" s="41" t="s">
        <v>1690</v>
      </c>
      <c r="E35" s="41" t="s">
        <v>1691</v>
      </c>
    </row>
    <row r="36" spans="1:5" x14ac:dyDescent="0.25">
      <c r="A36" s="41" t="s">
        <v>1590</v>
      </c>
      <c r="B36" s="41" t="s">
        <v>1639</v>
      </c>
      <c r="C36" s="41" t="s">
        <v>1639</v>
      </c>
      <c r="D36" s="41" t="s">
        <v>1690</v>
      </c>
      <c r="E36" s="41" t="s">
        <v>1691</v>
      </c>
    </row>
    <row r="37" spans="1:5" x14ac:dyDescent="0.25">
      <c r="A37" s="41" t="s">
        <v>1591</v>
      </c>
      <c r="B37" s="41" t="s">
        <v>1638</v>
      </c>
      <c r="C37" s="41" t="s">
        <v>1638</v>
      </c>
      <c r="D37" s="41" t="s">
        <v>1690</v>
      </c>
      <c r="E37" s="41" t="s">
        <v>1691</v>
      </c>
    </row>
    <row r="38" spans="1:5" x14ac:dyDescent="0.25">
      <c r="A38" s="41" t="s">
        <v>1592</v>
      </c>
      <c r="B38" s="41" t="s">
        <v>1639</v>
      </c>
      <c r="C38" s="41" t="s">
        <v>1639</v>
      </c>
      <c r="D38" s="41" t="s">
        <v>1690</v>
      </c>
      <c r="E38" s="41" t="s">
        <v>1691</v>
      </c>
    </row>
    <row r="39" spans="1:5" x14ac:dyDescent="0.25">
      <c r="A39" s="41" t="s">
        <v>1593</v>
      </c>
      <c r="B39" s="41" t="s">
        <v>1638</v>
      </c>
      <c r="C39" s="41" t="s">
        <v>1638</v>
      </c>
      <c r="D39" s="41" t="s">
        <v>1690</v>
      </c>
      <c r="E39" s="41" t="s">
        <v>1691</v>
      </c>
    </row>
    <row r="40" spans="1:5" x14ac:dyDescent="0.25">
      <c r="A40" s="41" t="s">
        <v>1594</v>
      </c>
      <c r="B40" s="41" t="s">
        <v>1638</v>
      </c>
      <c r="C40" s="41" t="s">
        <v>1638</v>
      </c>
      <c r="D40" s="41" t="s">
        <v>1690</v>
      </c>
      <c r="E40" s="41" t="s">
        <v>1691</v>
      </c>
    </row>
    <row r="41" spans="1:5" x14ac:dyDescent="0.25">
      <c r="A41" s="41" t="s">
        <v>1595</v>
      </c>
      <c r="B41" s="41" t="s">
        <v>1639</v>
      </c>
      <c r="C41" s="41" t="s">
        <v>1639</v>
      </c>
      <c r="D41" s="41" t="s">
        <v>1690</v>
      </c>
      <c r="E41" s="41" t="s">
        <v>1691</v>
      </c>
    </row>
    <row r="42" spans="1:5" x14ac:dyDescent="0.25">
      <c r="A42" s="41"/>
      <c r="B42" s="41"/>
      <c r="C42" s="41"/>
      <c r="D42" s="41"/>
      <c r="E42" s="41"/>
    </row>
    <row r="43" spans="1:5" x14ac:dyDescent="0.25">
      <c r="A43" s="41"/>
      <c r="B43" s="41"/>
      <c r="C43" s="41"/>
      <c r="D43" s="41"/>
      <c r="E43" s="41"/>
    </row>
    <row r="44" spans="1:5" ht="30" x14ac:dyDescent="0.25">
      <c r="A44" s="41" t="s">
        <v>1692</v>
      </c>
      <c r="B44" s="81">
        <v>0</v>
      </c>
      <c r="C44" s="41"/>
      <c r="D44" s="41"/>
      <c r="E44" s="41"/>
    </row>
    <row r="45" spans="1:5" x14ac:dyDescent="0.25">
      <c r="A45" s="41" t="s">
        <v>1693</v>
      </c>
      <c r="B45" s="41" t="s">
        <v>1694</v>
      </c>
      <c r="C45" s="41"/>
      <c r="D45" s="41"/>
      <c r="E45" s="41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19"/>
  <sheetViews>
    <sheetView workbookViewId="0"/>
  </sheetViews>
  <sheetFormatPr defaultRowHeight="15" x14ac:dyDescent="0.25"/>
  <cols>
    <col min="1" max="5" width="17" customWidth="1"/>
  </cols>
  <sheetData>
    <row r="1" spans="1:5" ht="60" x14ac:dyDescent="0.25">
      <c r="A1" s="41" t="s">
        <v>1695</v>
      </c>
      <c r="B1" s="41"/>
      <c r="C1" s="41"/>
      <c r="D1" s="41"/>
      <c r="E1" s="41"/>
    </row>
    <row r="2" spans="1:5" x14ac:dyDescent="0.25">
      <c r="A2" s="41"/>
      <c r="B2" s="41"/>
      <c r="C2" s="41"/>
      <c r="D2" s="41"/>
      <c r="E2" s="41"/>
    </row>
    <row r="3" spans="1:5" x14ac:dyDescent="0.25">
      <c r="A3" s="80" t="s">
        <v>1598</v>
      </c>
      <c r="B3" s="80" t="s">
        <v>40</v>
      </c>
      <c r="C3" s="80" t="s">
        <v>1637</v>
      </c>
      <c r="D3" s="80" t="s">
        <v>1638</v>
      </c>
      <c r="E3" s="80" t="s">
        <v>1639</v>
      </c>
    </row>
    <row r="4" spans="1:5" x14ac:dyDescent="0.25">
      <c r="A4" s="41" t="s">
        <v>1601</v>
      </c>
      <c r="B4" s="81">
        <v>0.46339999999999998</v>
      </c>
      <c r="C4" s="81">
        <v>0.86160000000000003</v>
      </c>
      <c r="D4" s="81">
        <v>0.504</v>
      </c>
      <c r="E4" s="81">
        <v>0.21260000000000001</v>
      </c>
    </row>
    <row r="5" spans="1:5" x14ac:dyDescent="0.25">
      <c r="A5" s="41" t="s">
        <v>1596</v>
      </c>
      <c r="B5" s="81">
        <v>0.53659999999999997</v>
      </c>
      <c r="C5" s="81">
        <v>0.1384</v>
      </c>
      <c r="D5" s="81">
        <v>0.496</v>
      </c>
      <c r="E5" s="81">
        <v>0.78739999999999999</v>
      </c>
    </row>
    <row r="6" spans="1:5" x14ac:dyDescent="0.25">
      <c r="A6" s="41" t="s">
        <v>1605</v>
      </c>
      <c r="B6" s="81">
        <v>0.53659999999999997</v>
      </c>
      <c r="C6" s="81">
        <v>0.1384</v>
      </c>
      <c r="D6" s="81">
        <v>0.496</v>
      </c>
      <c r="E6" s="81">
        <v>0.78739999999999999</v>
      </c>
    </row>
    <row r="7" spans="1:5" x14ac:dyDescent="0.25">
      <c r="A7" s="41" t="s">
        <v>1597</v>
      </c>
      <c r="B7" s="81">
        <v>0.17879999999999999</v>
      </c>
      <c r="C7" s="81">
        <v>0.48320000000000002</v>
      </c>
      <c r="D7" s="81">
        <v>0.3145</v>
      </c>
      <c r="E7" s="81">
        <v>9.7000000000000003E-2</v>
      </c>
    </row>
    <row r="8" spans="1:5" x14ac:dyDescent="0.25">
      <c r="A8" s="41" t="s">
        <v>1539</v>
      </c>
      <c r="B8" s="81">
        <v>0.76470000000000005</v>
      </c>
      <c r="C8" s="81">
        <v>0</v>
      </c>
      <c r="D8" s="81">
        <v>0.40410000000000001</v>
      </c>
      <c r="E8" s="81">
        <v>0.72940000000000005</v>
      </c>
    </row>
    <row r="9" spans="1:5" x14ac:dyDescent="0.25">
      <c r="A9" s="41" t="s">
        <v>1609</v>
      </c>
      <c r="B9" s="81">
        <v>0.91669999999999996</v>
      </c>
      <c r="C9" s="81">
        <v>0.2291</v>
      </c>
      <c r="D9" s="81">
        <v>0.62680000000000002</v>
      </c>
      <c r="E9" s="81">
        <v>0.8861</v>
      </c>
    </row>
    <row r="10" spans="1:5" x14ac:dyDescent="0.25">
      <c r="A10" s="41" t="s">
        <v>1542</v>
      </c>
      <c r="B10" s="81">
        <v>0.85650000000000004</v>
      </c>
      <c r="C10" s="81">
        <v>0.2273</v>
      </c>
      <c r="D10" s="81">
        <v>0.68689999999999996</v>
      </c>
      <c r="E10" s="81">
        <v>0.87619999999999998</v>
      </c>
    </row>
    <row r="11" spans="1:5" x14ac:dyDescent="0.25">
      <c r="A11" s="41" t="s">
        <v>1543</v>
      </c>
      <c r="B11" s="81">
        <v>0.89470000000000005</v>
      </c>
      <c r="C11" s="81">
        <v>0.13159999999999999</v>
      </c>
      <c r="D11" s="81">
        <v>0.73219999999999996</v>
      </c>
      <c r="E11" s="81">
        <v>0.85260000000000002</v>
      </c>
    </row>
    <row r="12" spans="1:5" x14ac:dyDescent="0.25">
      <c r="A12" s="41" t="s">
        <v>1547</v>
      </c>
      <c r="B12" s="81">
        <v>0.89500000000000002</v>
      </c>
      <c r="C12" s="81">
        <v>0.93489999999999995</v>
      </c>
      <c r="D12" s="81">
        <v>0.7198</v>
      </c>
      <c r="E12" s="81">
        <v>0.76390000000000002</v>
      </c>
    </row>
    <row r="13" spans="1:5" x14ac:dyDescent="0.25">
      <c r="A13" s="41" t="s">
        <v>1611</v>
      </c>
      <c r="B13" s="81">
        <v>0.63829999999999998</v>
      </c>
      <c r="C13" s="81">
        <v>0.1595</v>
      </c>
      <c r="D13" s="81">
        <v>0.41810000000000003</v>
      </c>
      <c r="E13" s="81">
        <v>0.38159999999999999</v>
      </c>
    </row>
    <row r="14" spans="1:5" x14ac:dyDescent="0.25">
      <c r="A14" s="41" t="s">
        <v>1613</v>
      </c>
      <c r="B14" s="81">
        <v>1</v>
      </c>
      <c r="C14" s="81">
        <v>0.53410000000000002</v>
      </c>
      <c r="D14" s="81">
        <v>0.36070000000000002</v>
      </c>
      <c r="E14" s="81">
        <v>0.35149999999999998</v>
      </c>
    </row>
    <row r="15" spans="1:5" x14ac:dyDescent="0.25">
      <c r="A15" s="41"/>
      <c r="B15" s="41"/>
      <c r="C15" s="41"/>
      <c r="D15" s="41"/>
      <c r="E15" s="41"/>
    </row>
    <row r="16" spans="1:5" x14ac:dyDescent="0.25">
      <c r="A16" s="41" t="s">
        <v>1675</v>
      </c>
      <c r="B16" s="41">
        <f>SQRT((B4-C4)^2+(B5-C5)^2+(B6-C6)^2+(B7-C7)^2+(B8-C8)^2+(B9-C9)^2+(B10-C10)^2+(B11-C11)^2+(B12-C12)^2+(B13-C13)^2+(B14-C14)^2)</f>
        <v>1.7470052776108034</v>
      </c>
      <c r="C16" s="41"/>
      <c r="D16" s="41"/>
      <c r="E16" s="41"/>
    </row>
    <row r="17" spans="1:5" x14ac:dyDescent="0.25">
      <c r="A17" s="41" t="s">
        <v>1676</v>
      </c>
      <c r="B17" s="41">
        <f>SQRT((B4-D4)^2+(B5-D5)^2+(B6-D6)^2+(B7-D7)^2+(B8-D8)^2+(B9-D9)^2+(B10-D10)^2+(B11-D11)^2+(B12-D12)^2+(B13-D13)^2+(B14-D14)^2)</f>
        <v>0.88345453759658732</v>
      </c>
      <c r="C17" s="41"/>
      <c r="D17" s="41"/>
      <c r="E17" s="41"/>
    </row>
    <row r="18" spans="1:5" x14ac:dyDescent="0.25">
      <c r="A18" s="41" t="s">
        <v>1677</v>
      </c>
      <c r="B18" s="41">
        <f>SQRT((B4-E4)^2+(B5-E5)^2+(B6-E6)^2+(B7-E7)^2+(B8-E8)^2+(B9-E9)^2+(B10-E10)^2+(B11-E11)^2+(B12-E12)^2+(B13-E13)^2+(B14-E14)^2)</f>
        <v>0.83867184285631058</v>
      </c>
      <c r="C18" s="41"/>
      <c r="D18" s="41"/>
      <c r="E18" s="41"/>
    </row>
    <row r="19" spans="1:5" x14ac:dyDescent="0.25">
      <c r="A19" s="41" t="s">
        <v>1672</v>
      </c>
      <c r="B19" s="41" t="str">
        <f>IF(B16=MIN(B16:B18),"C1",IF(B17=MIN(B16:B18),"C2","C3"))</f>
        <v>C3</v>
      </c>
      <c r="C19" s="41"/>
      <c r="D19" s="41"/>
      <c r="E19" s="41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D22"/>
  <sheetViews>
    <sheetView topLeftCell="A6" workbookViewId="0">
      <selection activeCell="A5" sqref="A5:D15"/>
    </sheetView>
  </sheetViews>
  <sheetFormatPr defaultRowHeight="15" x14ac:dyDescent="0.25"/>
  <cols>
    <col min="1" max="1" width="24" customWidth="1"/>
    <col min="2" max="4" width="20" customWidth="1"/>
  </cols>
  <sheetData>
    <row r="1" spans="1:4" ht="18.75" x14ac:dyDescent="0.25">
      <c r="A1" s="107" t="s">
        <v>1696</v>
      </c>
      <c r="B1" s="107"/>
      <c r="C1" s="107"/>
      <c r="D1" s="107"/>
    </row>
    <row r="2" spans="1:4" x14ac:dyDescent="0.25">
      <c r="A2" s="87" t="s">
        <v>1697</v>
      </c>
      <c r="B2" s="87"/>
      <c r="C2" s="87"/>
      <c r="D2" s="87"/>
    </row>
    <row r="3" spans="1:4" x14ac:dyDescent="0.25">
      <c r="A3" s="41"/>
      <c r="B3" s="41"/>
      <c r="C3" s="41"/>
      <c r="D3" s="41"/>
    </row>
    <row r="4" spans="1:4" x14ac:dyDescent="0.25">
      <c r="A4" s="82" t="s">
        <v>1598</v>
      </c>
      <c r="B4" s="82" t="s">
        <v>1637</v>
      </c>
      <c r="C4" s="82" t="s">
        <v>1638</v>
      </c>
      <c r="D4" s="82" t="s">
        <v>1639</v>
      </c>
    </row>
    <row r="5" spans="1:4" x14ac:dyDescent="0.25">
      <c r="A5" s="41" t="s">
        <v>1601</v>
      </c>
      <c r="B5" s="81">
        <f>'Centroid Iterasi 3'!B5</f>
        <v>0.86160000000000003</v>
      </c>
      <c r="C5" s="81">
        <f>'Centroid Iterasi 3'!C5</f>
        <v>0.504</v>
      </c>
      <c r="D5" s="81">
        <f>'Centroid Iterasi 3'!D5</f>
        <v>0.21260000000000001</v>
      </c>
    </row>
    <row r="6" spans="1:4" x14ac:dyDescent="0.25">
      <c r="A6" s="41" t="s">
        <v>1596</v>
      </c>
      <c r="B6" s="81">
        <f>'Centroid Iterasi 3'!B6</f>
        <v>0.1384</v>
      </c>
      <c r="C6" s="81">
        <f>'Centroid Iterasi 3'!C6</f>
        <v>0.496</v>
      </c>
      <c r="D6" s="81">
        <f>'Centroid Iterasi 3'!D6</f>
        <v>0.78739999999999999</v>
      </c>
    </row>
    <row r="7" spans="1:4" x14ac:dyDescent="0.25">
      <c r="A7" s="41" t="s">
        <v>1605</v>
      </c>
      <c r="B7" s="81">
        <f>'Centroid Iterasi 3'!B7</f>
        <v>0.1384</v>
      </c>
      <c r="C7" s="81">
        <f>'Centroid Iterasi 3'!C7</f>
        <v>0.496</v>
      </c>
      <c r="D7" s="81">
        <f>'Centroid Iterasi 3'!D7</f>
        <v>0.78739999999999999</v>
      </c>
    </row>
    <row r="8" spans="1:4" x14ac:dyDescent="0.25">
      <c r="A8" s="41" t="s">
        <v>1597</v>
      </c>
      <c r="B8" s="81">
        <f>'Centroid Iterasi 3'!B8</f>
        <v>0.48320000000000002</v>
      </c>
      <c r="C8" s="81">
        <f>'Centroid Iterasi 3'!C8</f>
        <v>0.3145</v>
      </c>
      <c r="D8" s="81">
        <f>'Centroid Iterasi 3'!D8</f>
        <v>9.7000000000000003E-2</v>
      </c>
    </row>
    <row r="9" spans="1:4" x14ac:dyDescent="0.25">
      <c r="A9" s="41" t="s">
        <v>1539</v>
      </c>
      <c r="B9" s="81">
        <f>'Centroid Iterasi 3'!B9</f>
        <v>0</v>
      </c>
      <c r="C9" s="81">
        <f>'Centroid Iterasi 3'!C9</f>
        <v>0.40410000000000001</v>
      </c>
      <c r="D9" s="81">
        <f>'Centroid Iterasi 3'!D9</f>
        <v>0.72940000000000005</v>
      </c>
    </row>
    <row r="10" spans="1:4" x14ac:dyDescent="0.25">
      <c r="A10" s="41" t="s">
        <v>1609</v>
      </c>
      <c r="B10" s="81">
        <f>'Centroid Iterasi 3'!B10</f>
        <v>0.2291</v>
      </c>
      <c r="C10" s="81">
        <f>'Centroid Iterasi 3'!C10</f>
        <v>0.62680000000000002</v>
      </c>
      <c r="D10" s="81">
        <f>'Centroid Iterasi 3'!D10</f>
        <v>0.8861</v>
      </c>
    </row>
    <row r="11" spans="1:4" x14ac:dyDescent="0.25">
      <c r="A11" s="41" t="s">
        <v>1542</v>
      </c>
      <c r="B11" s="81">
        <f>'Centroid Iterasi 3'!B11</f>
        <v>0.2273</v>
      </c>
      <c r="C11" s="81">
        <f>'Centroid Iterasi 3'!C11</f>
        <v>0.68689999999999996</v>
      </c>
      <c r="D11" s="81">
        <f>'Centroid Iterasi 3'!D11</f>
        <v>0.87619999999999998</v>
      </c>
    </row>
    <row r="12" spans="1:4" x14ac:dyDescent="0.25">
      <c r="A12" s="41" t="s">
        <v>1543</v>
      </c>
      <c r="B12" s="81">
        <f>'Centroid Iterasi 3'!B12</f>
        <v>0.13159999999999999</v>
      </c>
      <c r="C12" s="81">
        <f>'Centroid Iterasi 3'!C12</f>
        <v>0.73219999999999996</v>
      </c>
      <c r="D12" s="81">
        <f>'Centroid Iterasi 3'!D12</f>
        <v>0.85260000000000002</v>
      </c>
    </row>
    <row r="13" spans="1:4" x14ac:dyDescent="0.25">
      <c r="A13" s="41" t="s">
        <v>1547</v>
      </c>
      <c r="B13" s="81">
        <f>'Centroid Iterasi 3'!B13</f>
        <v>0.93489999999999995</v>
      </c>
      <c r="C13" s="81">
        <f>'Centroid Iterasi 3'!C13</f>
        <v>0.7198</v>
      </c>
      <c r="D13" s="81">
        <f>'Centroid Iterasi 3'!D13</f>
        <v>0.76390000000000002</v>
      </c>
    </row>
    <row r="14" spans="1:4" x14ac:dyDescent="0.25">
      <c r="A14" s="41" t="s">
        <v>1611</v>
      </c>
      <c r="B14" s="81">
        <f>'Centroid Iterasi 3'!B14</f>
        <v>0.1595</v>
      </c>
      <c r="C14" s="81">
        <f>'Centroid Iterasi 3'!C14</f>
        <v>0.41810000000000003</v>
      </c>
      <c r="D14" s="81">
        <f>'Centroid Iterasi 3'!D14</f>
        <v>0.38159999999999999</v>
      </c>
    </row>
    <row r="15" spans="1:4" x14ac:dyDescent="0.25">
      <c r="A15" s="41" t="s">
        <v>1613</v>
      </c>
      <c r="B15" s="81">
        <f>'Centroid Iterasi 3'!B15</f>
        <v>0.53410000000000002</v>
      </c>
      <c r="C15" s="81">
        <f>'Centroid Iterasi 3'!C15</f>
        <v>0.36070000000000002</v>
      </c>
      <c r="D15" s="81">
        <f>'Centroid Iterasi 3'!D15</f>
        <v>0.35149999999999998</v>
      </c>
    </row>
    <row r="16" spans="1:4" x14ac:dyDescent="0.25">
      <c r="A16" s="41"/>
      <c r="B16" s="41"/>
      <c r="C16" s="41"/>
      <c r="D16" s="41"/>
    </row>
    <row r="17" spans="1:4" x14ac:dyDescent="0.25">
      <c r="A17" s="41" t="s">
        <v>1644</v>
      </c>
      <c r="B17" s="41">
        <v>2</v>
      </c>
      <c r="C17" s="41">
        <v>23</v>
      </c>
      <c r="D17" s="41">
        <v>15</v>
      </c>
    </row>
    <row r="18" spans="1:4" x14ac:dyDescent="0.25">
      <c r="A18" s="41"/>
      <c r="B18" s="41"/>
      <c r="C18" s="41"/>
      <c r="D18" s="41"/>
    </row>
    <row r="19" spans="1:4" x14ac:dyDescent="0.25">
      <c r="A19" s="83" t="s">
        <v>1600</v>
      </c>
      <c r="B19" s="83" t="s">
        <v>1637</v>
      </c>
      <c r="C19" s="83" t="s">
        <v>1638</v>
      </c>
      <c r="D19" s="83" t="s">
        <v>1639</v>
      </c>
    </row>
    <row r="20" spans="1:4" ht="30" x14ac:dyDescent="0.25">
      <c r="A20" s="41" t="s">
        <v>1698</v>
      </c>
      <c r="B20" s="41" t="s">
        <v>1699</v>
      </c>
      <c r="C20" s="41" t="s">
        <v>1699</v>
      </c>
      <c r="D20" s="41" t="s">
        <v>1699</v>
      </c>
    </row>
    <row r="21" spans="1:4" x14ac:dyDescent="0.25">
      <c r="A21" s="41"/>
      <c r="B21" s="41"/>
      <c r="C21" s="41"/>
      <c r="D21" s="41"/>
    </row>
    <row r="22" spans="1:4" x14ac:dyDescent="0.25">
      <c r="A22" s="41"/>
      <c r="B22" s="41"/>
      <c r="C22" s="41"/>
      <c r="D22" s="41"/>
    </row>
  </sheetData>
  <mergeCells count="2">
    <mergeCell ref="A1:D1"/>
    <mergeCell ref="A2:D2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F20"/>
  <sheetViews>
    <sheetView topLeftCell="A15" workbookViewId="0">
      <selection activeCell="G16" sqref="G16"/>
    </sheetView>
  </sheetViews>
  <sheetFormatPr defaultRowHeight="15" x14ac:dyDescent="0.25"/>
  <cols>
    <col min="1" max="1" width="28" customWidth="1"/>
    <col min="2" max="2" width="25" customWidth="1"/>
    <col min="4" max="5" width="18" customWidth="1"/>
    <col min="6" max="6" width="25" customWidth="1"/>
  </cols>
  <sheetData>
    <row r="1" spans="1:6" ht="18.75" x14ac:dyDescent="0.25">
      <c r="A1" s="85" t="s">
        <v>1700</v>
      </c>
      <c r="B1" s="85"/>
      <c r="C1" s="85"/>
      <c r="D1" s="85"/>
      <c r="E1" s="85"/>
      <c r="F1" s="85"/>
    </row>
    <row r="2" spans="1:6" x14ac:dyDescent="0.25">
      <c r="A2" s="51"/>
      <c r="B2" s="51"/>
      <c r="C2" s="51"/>
      <c r="D2" s="51"/>
      <c r="E2" s="51"/>
      <c r="F2" s="51"/>
    </row>
    <row r="3" spans="1:6" x14ac:dyDescent="0.25">
      <c r="A3" s="84" t="s">
        <v>1701</v>
      </c>
      <c r="B3" s="84" t="s">
        <v>1702</v>
      </c>
      <c r="C3" s="51"/>
      <c r="D3" s="84" t="s">
        <v>1703</v>
      </c>
      <c r="E3" s="84" t="s">
        <v>1644</v>
      </c>
      <c r="F3" s="84" t="s">
        <v>1600</v>
      </c>
    </row>
    <row r="4" spans="1:6" x14ac:dyDescent="0.25">
      <c r="A4" s="51" t="s">
        <v>1704</v>
      </c>
      <c r="B4" s="51">
        <v>40</v>
      </c>
      <c r="C4" s="51"/>
      <c r="D4" s="51" t="s">
        <v>1637</v>
      </c>
      <c r="E4" s="51">
        <v>2</v>
      </c>
      <c r="F4" s="51" t="s">
        <v>1705</v>
      </c>
    </row>
    <row r="5" spans="1:6" x14ac:dyDescent="0.25">
      <c r="A5" s="51" t="s">
        <v>1706</v>
      </c>
      <c r="B5" s="51">
        <v>3</v>
      </c>
      <c r="C5" s="51"/>
      <c r="D5" s="51" t="s">
        <v>1638</v>
      </c>
      <c r="E5" s="51">
        <v>23</v>
      </c>
      <c r="F5" s="51" t="s">
        <v>1705</v>
      </c>
    </row>
    <row r="6" spans="1:6" x14ac:dyDescent="0.25">
      <c r="A6" s="51" t="s">
        <v>1707</v>
      </c>
      <c r="B6" s="51" t="s">
        <v>1708</v>
      </c>
      <c r="C6" s="51"/>
      <c r="D6" s="51" t="s">
        <v>1639</v>
      </c>
      <c r="E6" s="51">
        <v>15</v>
      </c>
      <c r="F6" s="51" t="s">
        <v>1705</v>
      </c>
    </row>
    <row r="7" spans="1:6" x14ac:dyDescent="0.25">
      <c r="A7" s="51" t="s">
        <v>1709</v>
      </c>
      <c r="B7" s="51" t="s">
        <v>1710</v>
      </c>
      <c r="C7" s="51"/>
      <c r="D7" s="51"/>
      <c r="E7" s="51"/>
      <c r="F7" s="51"/>
    </row>
    <row r="8" spans="1:6" x14ac:dyDescent="0.25">
      <c r="A8" s="51" t="s">
        <v>1687</v>
      </c>
      <c r="B8" s="51" t="s">
        <v>1711</v>
      </c>
      <c r="C8" s="51"/>
      <c r="D8" s="51"/>
      <c r="E8" s="51"/>
      <c r="F8" s="51"/>
    </row>
    <row r="9" spans="1:6" x14ac:dyDescent="0.25">
      <c r="A9" s="51" t="s">
        <v>1688</v>
      </c>
      <c r="B9" s="51" t="s">
        <v>1711</v>
      </c>
      <c r="C9" s="51"/>
      <c r="D9" s="51"/>
      <c r="E9" s="51"/>
      <c r="F9" s="51"/>
    </row>
    <row r="10" spans="1:6" x14ac:dyDescent="0.25">
      <c r="A10" s="51" t="s">
        <v>1712</v>
      </c>
      <c r="B10" s="51">
        <v>5</v>
      </c>
      <c r="C10" s="51"/>
      <c r="D10" s="51"/>
      <c r="E10" s="51"/>
      <c r="F10" s="51"/>
    </row>
    <row r="11" spans="1:6" x14ac:dyDescent="0.25">
      <c r="A11" s="51" t="s">
        <v>1713</v>
      </c>
      <c r="B11" s="51">
        <v>2</v>
      </c>
      <c r="C11" s="51"/>
      <c r="D11" s="51"/>
      <c r="E11" s="51"/>
      <c r="F11" s="51"/>
    </row>
    <row r="12" spans="1:6" x14ac:dyDescent="0.25">
      <c r="A12" s="51" t="s">
        <v>1714</v>
      </c>
      <c r="B12" s="51">
        <v>0</v>
      </c>
      <c r="C12" s="51"/>
      <c r="D12" s="51"/>
      <c r="E12" s="51"/>
      <c r="F12" s="51"/>
    </row>
    <row r="13" spans="1:6" x14ac:dyDescent="0.25">
      <c r="A13" s="51" t="s">
        <v>1715</v>
      </c>
      <c r="B13" s="51" t="s">
        <v>1716</v>
      </c>
      <c r="C13" s="51"/>
      <c r="D13" s="51"/>
      <c r="E13" s="51"/>
      <c r="F13" s="51"/>
    </row>
    <row r="14" spans="1:6" x14ac:dyDescent="0.25">
      <c r="A14" s="51" t="s">
        <v>1717</v>
      </c>
      <c r="B14" s="51" t="s">
        <v>1688</v>
      </c>
      <c r="C14" s="51"/>
      <c r="D14" s="51"/>
      <c r="E14" s="51"/>
      <c r="F14" s="51"/>
    </row>
    <row r="15" spans="1:6" x14ac:dyDescent="0.25">
      <c r="A15" s="51"/>
      <c r="B15" s="51"/>
      <c r="C15" s="51"/>
      <c r="D15" s="51"/>
      <c r="E15" s="51"/>
      <c r="F15" s="51"/>
    </row>
    <row r="16" spans="1:6" x14ac:dyDescent="0.25">
      <c r="A16" s="86" t="s">
        <v>1718</v>
      </c>
      <c r="B16" s="86"/>
      <c r="C16" s="86"/>
      <c r="D16" s="86"/>
      <c r="E16" s="86"/>
      <c r="F16" s="86"/>
    </row>
    <row r="17" spans="1:6" x14ac:dyDescent="0.25">
      <c r="A17" s="51"/>
      <c r="B17" s="51"/>
      <c r="C17" s="51"/>
      <c r="D17" s="51"/>
      <c r="E17" s="51"/>
      <c r="F17" s="51"/>
    </row>
    <row r="18" spans="1:6" x14ac:dyDescent="0.25">
      <c r="A18" s="87" t="s">
        <v>1719</v>
      </c>
      <c r="B18" s="87"/>
      <c r="C18" s="87"/>
      <c r="D18" s="87"/>
      <c r="E18" s="87"/>
      <c r="F18" s="87"/>
    </row>
    <row r="19" spans="1:6" x14ac:dyDescent="0.25">
      <c r="A19" s="51"/>
      <c r="B19" s="51"/>
      <c r="C19" s="51"/>
      <c r="D19" s="51"/>
      <c r="E19" s="51"/>
      <c r="F19" s="51"/>
    </row>
    <row r="20" spans="1:6" x14ac:dyDescent="0.25">
      <c r="A20" s="51"/>
      <c r="B20" s="51"/>
      <c r="C20" s="51"/>
      <c r="D20" s="51"/>
      <c r="E20" s="51"/>
      <c r="F20" s="51"/>
    </row>
  </sheetData>
  <mergeCells count="3">
    <mergeCell ref="A1:F1"/>
    <mergeCell ref="A16:F16"/>
    <mergeCell ref="A18:F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DataSekolah dan Kecamatan</vt:lpstr>
      <vt:lpstr>Data Fasilitas</vt:lpstr>
      <vt:lpstr>Data Infrastruktur Kondisi</vt:lpstr>
      <vt:lpstr>Data Rombel</vt:lpstr>
      <vt:lpstr>Integrasi Data</vt:lpstr>
      <vt:lpstr>Variabel</vt:lpstr>
      <vt:lpstr>Nilai Min-Max</vt:lpstr>
      <vt:lpstr>Nilai Normalisasi</vt:lpstr>
      <vt:lpstr>Tabel Centroid awal</vt:lpstr>
      <vt:lpstr>Jarak Iterasi 1</vt:lpstr>
      <vt:lpstr>Hasil Numerik</vt:lpstr>
      <vt:lpstr>Centroid Baru Iterasi 2</vt:lpstr>
      <vt:lpstr>Perhitungan Centroid Baru</vt:lpstr>
      <vt:lpstr>Jarak Iterasi 2</vt:lpstr>
      <vt:lpstr>Centroid Iterasi 2</vt:lpstr>
      <vt:lpstr>Jarak Iterasi 3</vt:lpstr>
      <vt:lpstr>Cek Rumus Centroid Iterasi 2</vt:lpstr>
      <vt:lpstr>Anggota Iterasi 2</vt:lpstr>
      <vt:lpstr>Centroid Iterasi 2 Exact</vt:lpstr>
      <vt:lpstr>Contoh Waled Iterasi 3</vt:lpstr>
      <vt:lpstr>Centroid Iterasi 2 Dipakai</vt:lpstr>
      <vt:lpstr>Centroid Iterasi 3</vt:lpstr>
      <vt:lpstr>Jarak Iterasi 4</vt:lpstr>
      <vt:lpstr>Perbandingan Iterasi 3-4</vt:lpstr>
      <vt:lpstr>Contoh Waled Iterasi 4</vt:lpstr>
      <vt:lpstr>Centroid Iterasi 4</vt:lpstr>
      <vt:lpstr>Kesimpulan K-Means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MENDREW EXE</cp:lastModifiedBy>
  <dcterms:modified xsi:type="dcterms:W3CDTF">2026-08-20T19:23:40Z</dcterms:modified>
</cp:coreProperties>
</file>